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<sst xmlns="http://schemas.openxmlformats.org/spreadsheetml/2006/main" uniqueCount="520">
  <si>
    <t>No. Urut</t>
  </si>
  <si>
    <t>Ref</t>
  </si>
  <si>
    <t>Tgl Ref</t>
  </si>
  <si>
    <t>No. Ref</t>
  </si>
  <si>
    <t>No. Dok Ref</t>
  </si>
  <si>
    <t>Kode Cust</t>
  </si>
  <si>
    <t>Nama Cust</t>
  </si>
  <si>
    <t>Alamat Cust</t>
  </si>
  <si>
    <t>Kode Panel</t>
  </si>
  <si>
    <t>Nama Panel</t>
  </si>
  <si>
    <t>Kode Sales</t>
  </si>
  <si>
    <t>Nama Sales</t>
  </si>
  <si>
    <t>Keterangan</t>
  </si>
  <si>
    <t>Pajak</t>
  </si>
  <si>
    <t>Kategori Pjk</t>
  </si>
  <si>
    <t>Kode Barang</t>
  </si>
  <si>
    <t>Nama Jns Brg</t>
  </si>
  <si>
    <t>Ket Ref</t>
  </si>
  <si>
    <t>Qty</t>
  </si>
  <si>
    <t>Sat</t>
  </si>
  <si>
    <t>Qty Std</t>
  </si>
  <si>
    <t>Sat Std</t>
  </si>
  <si>
    <t>Harga (+)</t>
  </si>
  <si>
    <t>Harga Sbl (+)</t>
  </si>
  <si>
    <t>Harga Unit(Mu)</t>
  </si>
  <si>
    <t>Total(MU)</t>
  </si>
  <si>
    <t>Disc. 1 (%)</t>
  </si>
  <si>
    <t>Disc. 1 (MU)</t>
  </si>
  <si>
    <t>Disc. 2 (%)</t>
  </si>
  <si>
    <t>Disc. 2 (MU)</t>
  </si>
  <si>
    <t>Disc. 3 (%)</t>
  </si>
  <si>
    <t>Disc. 3 (MU)</t>
  </si>
  <si>
    <t>Disc. 4 (MU)</t>
  </si>
  <si>
    <t>Disc. 5 (%)</t>
  </si>
  <si>
    <t>Disc. 5 (MU)</t>
  </si>
  <si>
    <t>Disc. 6 (MU)</t>
  </si>
  <si>
    <t>Subtot Disc(Mu)</t>
  </si>
  <si>
    <t>Subtot(Mu)</t>
  </si>
  <si>
    <t>Hrg Unit Riil(Mu)</t>
  </si>
  <si>
    <t>Total Riil(Mu)</t>
  </si>
  <si>
    <t>Subtot Disc Riil(Mu)</t>
  </si>
  <si>
    <t>Subtot Riil(Mu)</t>
  </si>
  <si>
    <t>Disc Akh(Mu)</t>
  </si>
  <si>
    <t>Subtot Net(Mu)</t>
  </si>
  <si>
    <t>Pjk(Mu)</t>
  </si>
  <si>
    <t>Subtot Net Pjk(Mu)</t>
  </si>
  <si>
    <t>Kode Kota</t>
  </si>
  <si>
    <t>Nama Kota</t>
  </si>
  <si>
    <t>81.</t>
  </si>
  <si>
    <t>FJ</t>
  </si>
  <si>
    <t>2505-MX0005</t>
  </si>
  <si>
    <t>C-CV--003</t>
  </si>
  <si>
    <t>CV SUPER MART SENTOSA</t>
  </si>
  <si>
    <t>URIMESING</t>
  </si>
  <si>
    <t>SL12</t>
  </si>
  <si>
    <t>FENDRY</t>
  </si>
  <si>
    <t>PPN</t>
  </si>
  <si>
    <t>Include</t>
  </si>
  <si>
    <t>D</t>
  </si>
  <si>
    <t>BOX</t>
  </si>
  <si>
    <t>PCS</t>
  </si>
  <si>
    <t>AMBON</t>
  </si>
  <si>
    <t>82.</t>
  </si>
  <si>
    <t>83.</t>
  </si>
  <si>
    <t>84.</t>
  </si>
  <si>
    <t>CRT</t>
  </si>
  <si>
    <t>BAL</t>
  </si>
  <si>
    <t>94.</t>
  </si>
  <si>
    <t>2505-MX0004</t>
  </si>
  <si>
    <t>CUST0066</t>
  </si>
  <si>
    <t>SANDY</t>
  </si>
  <si>
    <t>PASSO</t>
  </si>
  <si>
    <t>Erwin Taneo</t>
  </si>
  <si>
    <t>4100001212.</t>
  </si>
  <si>
    <t>166.</t>
  </si>
  <si>
    <t>2505-MX0014</t>
  </si>
  <si>
    <t>KV00678</t>
  </si>
  <si>
    <t>TOKO NANI (KONTAN)</t>
  </si>
  <si>
    <t>167.</t>
  </si>
  <si>
    <t>44.</t>
  </si>
  <si>
    <t>2505-MX0039</t>
  </si>
  <si>
    <t>110--KIO0758</t>
  </si>
  <si>
    <t>KIOS JHON</t>
  </si>
  <si>
    <t>KY PUTIH</t>
  </si>
  <si>
    <t>51.</t>
  </si>
  <si>
    <t>2505-MX0037</t>
  </si>
  <si>
    <t>110--PEN0535</t>
  </si>
  <si>
    <t>PENGINAPAN TANAH TINGGI</t>
  </si>
  <si>
    <t>SKIP</t>
  </si>
  <si>
    <t>52.</t>
  </si>
  <si>
    <t>54.</t>
  </si>
  <si>
    <t>2505-MX0045</t>
  </si>
  <si>
    <t>110--PT.0481</t>
  </si>
  <si>
    <t>PT. INTI CAKRAWALA CITRA</t>
  </si>
  <si>
    <t>JL. ANCOL BARAT I NO. 9-10 ANCOL PADEMANGAN JAKARTA UTARA, DKII JAKARTA-14430</t>
  </si>
  <si>
    <t>SL10</t>
  </si>
  <si>
    <t>JAKARTA</t>
  </si>
  <si>
    <t>79.</t>
  </si>
  <si>
    <t>2505-MX0036</t>
  </si>
  <si>
    <t>110-CUS-KHU-CV0001</t>
  </si>
  <si>
    <t>CV SERBA USAHA</t>
  </si>
  <si>
    <t>KARPAN</t>
  </si>
  <si>
    <t>4100001079NEW</t>
  </si>
  <si>
    <t>161.</t>
  </si>
  <si>
    <t>2505-MX0031</t>
  </si>
  <si>
    <t>KV00264</t>
  </si>
  <si>
    <t>EMPI</t>
  </si>
  <si>
    <t>KUDAMATI</t>
  </si>
  <si>
    <t>1.</t>
  </si>
  <si>
    <t>2505-MX0065</t>
  </si>
  <si>
    <t xml:space="preserve"> 110--KIO0541</t>
  </si>
  <si>
    <t>RAFAEL</t>
  </si>
  <si>
    <t>SETIA BUDI</t>
  </si>
  <si>
    <t>2.</t>
  </si>
  <si>
    <t>10.</t>
  </si>
  <si>
    <t>2505-MX0061</t>
  </si>
  <si>
    <t>110--ALI0388</t>
  </si>
  <si>
    <t>ALIF KIOS</t>
  </si>
  <si>
    <t>GUNUNG MALINTANG</t>
  </si>
  <si>
    <t>BALL</t>
  </si>
  <si>
    <t>PAK</t>
  </si>
  <si>
    <t>11.</t>
  </si>
  <si>
    <t>4100000601.</t>
  </si>
  <si>
    <t>RCG</t>
  </si>
  <si>
    <t>12.</t>
  </si>
  <si>
    <t>4100000964.GT</t>
  </si>
  <si>
    <t>35.</t>
  </si>
  <si>
    <t>2505-MX0064</t>
  </si>
  <si>
    <t>110--IPI0117</t>
  </si>
  <si>
    <t>IPING KIOS</t>
  </si>
  <si>
    <t>MARDIKA</t>
  </si>
  <si>
    <t>RTG</t>
  </si>
  <si>
    <t>36.</t>
  </si>
  <si>
    <t>37.</t>
  </si>
  <si>
    <t>38.</t>
  </si>
  <si>
    <t>39.</t>
  </si>
  <si>
    <t>40.</t>
  </si>
  <si>
    <t>41.</t>
  </si>
  <si>
    <t>126.</t>
  </si>
  <si>
    <t>2505-MX0062</t>
  </si>
  <si>
    <t>CUST0198</t>
  </si>
  <si>
    <t>RAHMA KIOS</t>
  </si>
  <si>
    <t>KEBUN CENGKEH</t>
  </si>
  <si>
    <t>4100000885NEW</t>
  </si>
  <si>
    <t>127.</t>
  </si>
  <si>
    <t>128.</t>
  </si>
  <si>
    <t>4100001080NEW</t>
  </si>
  <si>
    <t>140.</t>
  </si>
  <si>
    <t>2505-MX0063</t>
  </si>
  <si>
    <t>CUST1346</t>
  </si>
  <si>
    <t>TOKO AXEL</t>
  </si>
  <si>
    <t>DEPAN LRG PLN, PASSO</t>
  </si>
  <si>
    <t>BTL</t>
  </si>
  <si>
    <t>141.</t>
  </si>
  <si>
    <t>142.</t>
  </si>
  <si>
    <t>145.</t>
  </si>
  <si>
    <t>2505-MX0069</t>
  </si>
  <si>
    <t>CUST1400</t>
  </si>
  <si>
    <t>ONCO / ADEMA</t>
  </si>
  <si>
    <t>HITU</t>
  </si>
  <si>
    <t>EL01</t>
  </si>
  <si>
    <t>165.</t>
  </si>
  <si>
    <t>2505-MX0060</t>
  </si>
  <si>
    <t>KV00587</t>
  </si>
  <si>
    <t>MANA SAPARUA</t>
  </si>
  <si>
    <t>GALALA</t>
  </si>
  <si>
    <t>13.</t>
  </si>
  <si>
    <t>2505-MX0104</t>
  </si>
  <si>
    <t>110--CV.0859</t>
  </si>
  <si>
    <t>CV. OASIS</t>
  </si>
  <si>
    <t>WAILELA SEBELUM KFC</t>
  </si>
  <si>
    <t>14.</t>
  </si>
  <si>
    <t>15.</t>
  </si>
  <si>
    <t>16.</t>
  </si>
  <si>
    <t>17.</t>
  </si>
  <si>
    <t>4100000448-NEW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</si>
  <si>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</si>
  <si>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</si>
  <si>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</si>
  <si>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</si>
  <si>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</si>
  <si>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</si>
  <si>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</si>
  <si>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</si>
  <si>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</si>
  <si>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</si>
  <si>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</si>
  <si>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</si>
  <si>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</si>
  <si>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</si>
  <si>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</si>
  <si>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78.</t>
  </si>
  <si>
    <t>2505-MX0092</t>
  </si>
  <si>
    <t>110--TOK0858</t>
  </si>
  <si>
    <t>TOKO MITRA</t>
  </si>
  <si>
    <t>85.</t>
  </si>
  <si>
    <t>2505-MX0091</t>
  </si>
  <si>
    <t>C-MAN--002</t>
  </si>
  <si>
    <t>MANDIRI</t>
  </si>
  <si>
    <t>93.</t>
  </si>
  <si>
    <t>2505-MX0090</t>
  </si>
  <si>
    <t>CUST0035</t>
  </si>
  <si>
    <t>VANIA</t>
  </si>
  <si>
    <t>BENTENG</t>
  </si>
  <si>
    <t>194.</t>
  </si>
  <si>
    <t>2505-MX0098</t>
  </si>
  <si>
    <t>PT.--0012</t>
  </si>
  <si>
    <t>PT. MIDI UTAMA INDONESIA TBK</t>
  </si>
  <si>
    <t>TANGERANG</t>
  </si>
  <si>
    <t>195.</t>
  </si>
  <si>
    <t>5.</t>
  </si>
  <si>
    <t>2505-MX0115</t>
  </si>
  <si>
    <t>110--ADE0624</t>
  </si>
  <si>
    <t>ADE LALI PASSO</t>
  </si>
  <si>
    <t>DEPAN LAP. PERIKANAN</t>
  </si>
  <si>
    <t>6.</t>
  </si>
  <si>
    <t>7.</t>
  </si>
  <si>
    <t>8.</t>
  </si>
  <si>
    <t>45.</t>
  </si>
  <si>
    <t>2505-MX0117</t>
  </si>
  <si>
    <t>110--KUL0714</t>
  </si>
  <si>
    <t>ADIN ( KULIBUAH MEKAR )</t>
  </si>
  <si>
    <t>46.</t>
  </si>
  <si>
    <t>47.</t>
  </si>
  <si>
    <t>48.</t>
  </si>
  <si>
    <t>55.</t>
  </si>
  <si>
    <t>2505-MX0142</t>
  </si>
  <si>
    <t>56.</t>
  </si>
  <si>
    <t>2505-MX0144</t>
  </si>
  <si>
    <t>57.</t>
  </si>
  <si>
    <t>2505-MX0145</t>
  </si>
  <si>
    <t>58.</t>
  </si>
  <si>
    <t>59.</t>
  </si>
  <si>
    <t>158.</t>
  </si>
  <si>
    <t>2505-MX0118</t>
  </si>
  <si>
    <t>KV00185</t>
  </si>
  <si>
    <t>CV PLANET</t>
  </si>
  <si>
    <t>JL. DIPONEGORO NO 21</t>
  </si>
  <si>
    <t>159.</t>
  </si>
  <si>
    <t>193.</t>
  </si>
  <si>
    <t>2505-MX0116</t>
  </si>
  <si>
    <t>KV00946</t>
  </si>
  <si>
    <t>UNIVERSAL</t>
  </si>
  <si>
    <t>JL.SAM RATULANGI</t>
  </si>
  <si>
    <t>33.</t>
  </si>
  <si>
    <t>2505-MX0154</t>
  </si>
  <si>
    <t>110--FAJ0891</t>
  </si>
  <si>
    <t>FAJRIN</t>
  </si>
  <si>
    <t>WAIHERU</t>
  </si>
  <si>
    <t>34.</t>
  </si>
  <si>
    <t>49.</t>
  </si>
  <si>
    <t>2505-MX0155</t>
  </si>
  <si>
    <t>110--LA0630</t>
  </si>
  <si>
    <t>LA MUHU</t>
  </si>
  <si>
    <t>50.</t>
  </si>
  <si>
    <t>98.</t>
  </si>
  <si>
    <t>2505-MX0153</t>
  </si>
  <si>
    <t>CUST0123</t>
  </si>
  <si>
    <t>PALMA</t>
  </si>
  <si>
    <t>168.</t>
  </si>
  <si>
    <t>2505-MX0158</t>
  </si>
  <si>
    <t>KV00715</t>
  </si>
  <si>
    <t>PT.BETA MART ABADI</t>
  </si>
  <si>
    <t>Waiheru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</si>
  <si>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</si>
  <si>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</si>
  <si>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</si>
  <si>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</si>
  <si>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</si>
  <si>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</si>
  <si>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</si>
  <si>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</si>
  <si>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</si>
  <si>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</si>
  <si>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PACK</t>
  </si>
  <si>
    <t>179.</t>
  </si>
  <si>
    <t>180.</t>
  </si>
  <si>
    <t>181.</t>
  </si>
  <si>
    <t>182.</t>
  </si>
  <si>
    <t>183.</t>
  </si>
  <si>
    <t>184.</t>
  </si>
  <si>
    <t>185.</t>
  </si>
  <si>
    <t>2505-MX0157</t>
  </si>
  <si>
    <t>Negeri Lama</t>
  </si>
  <si>
    <t>186.</t>
  </si>
  <si>
    <t>187.</t>
  </si>
  <si>
    <t>188.</t>
  </si>
  <si>
    <t>189.</t>
  </si>
  <si>
    <t>190.</t>
  </si>
  <si>
    <t>191.</t>
  </si>
  <si>
    <t>201.</t>
  </si>
  <si>
    <t>2505-MX0156</t>
  </si>
  <si>
    <t>YON--0001</t>
  </si>
  <si>
    <t>WALE</t>
  </si>
  <si>
    <t>BENTAS</t>
  </si>
  <si>
    <t>202.</t>
  </si>
  <si>
    <t>203.</t>
  </si>
  <si>
    <t>204.</t>
  </si>
  <si>
    <t>205.</t>
  </si>
  <si>
    <t>43.</t>
  </si>
  <si>
    <t>2505-MX0206</t>
  </si>
  <si>
    <t>110--KIO0728</t>
  </si>
  <si>
    <t>KIOS BAPA ED ( KONTAN )</t>
  </si>
  <si>
    <t>LEMBAH ARGO</t>
  </si>
  <si>
    <t>60.</t>
  </si>
  <si>
    <t>2505-MX0215</t>
  </si>
  <si>
    <t>61.</t>
  </si>
  <si>
    <t>62.</t>
  </si>
  <si>
    <t>75.</t>
  </si>
  <si>
    <t>2505-MX0185</t>
  </si>
  <si>
    <t>110--RM.0314</t>
  </si>
  <si>
    <t>RM. ALAM HIJAU</t>
  </si>
  <si>
    <t>SBLM LIBERTI LAHA SBLH KIRI</t>
  </si>
  <si>
    <t>80.</t>
  </si>
  <si>
    <t>2505-MX0216</t>
  </si>
  <si>
    <t>BY0001</t>
  </si>
  <si>
    <t>BUYUNG KANVAS</t>
  </si>
  <si>
    <t>Uwa Adel</t>
  </si>
  <si>
    <t>88.</t>
  </si>
  <si>
    <t>2505-MX0213</t>
  </si>
  <si>
    <t>CUST0024</t>
  </si>
  <si>
    <t>CV. REJEKI CEMERLANG</t>
  </si>
  <si>
    <t>JL. AY. PATTY</t>
  </si>
  <si>
    <t>89.</t>
  </si>
  <si>
    <t>90.</t>
  </si>
  <si>
    <t>91.</t>
  </si>
  <si>
    <t>92.</t>
  </si>
  <si>
    <t>136.</t>
  </si>
  <si>
    <t>2505-MX0184</t>
  </si>
  <si>
    <t>CUST1096</t>
  </si>
  <si>
    <t>CAHAYA FATHAN*</t>
  </si>
  <si>
    <t>PERTOKOAN BATU MERAH</t>
  </si>
  <si>
    <t>151.</t>
  </si>
  <si>
    <t>2505-MX0203</t>
  </si>
  <si>
    <t>ECI--0001</t>
  </si>
  <si>
    <t>ECI</t>
  </si>
  <si>
    <t>PASAR HITU</t>
  </si>
  <si>
    <t>157.</t>
  </si>
  <si>
    <t>2505-MX0183</t>
  </si>
  <si>
    <t>KV00174</t>
  </si>
  <si>
    <t>CV INDO JAYA</t>
  </si>
  <si>
    <t>JL YAN PAAYS NO. RT.003 RW.001</t>
  </si>
  <si>
    <t>196.</t>
  </si>
  <si>
    <t>2505-MX0212</t>
  </si>
  <si>
    <t>197.</t>
  </si>
  <si>
    <t>198.</t>
  </si>
  <si>
    <t>9.</t>
  </si>
  <si>
    <t>2505-MX0246</t>
  </si>
  <si>
    <t>110--AIK0077</t>
  </si>
  <si>
    <t>AIKO</t>
  </si>
  <si>
    <t>DEKAT TOKO H.NONA RMH TIGA</t>
  </si>
  <si>
    <t>53.</t>
  </si>
  <si>
    <t>2505-MX0233</t>
  </si>
  <si>
    <t>87.</t>
  </si>
  <si>
    <t>2505-MX0235</t>
  </si>
  <si>
    <t>C-PRI--001</t>
  </si>
  <si>
    <t>PRISON TOKO (BATU MEJA)</t>
  </si>
  <si>
    <t>BATU MEJA</t>
  </si>
  <si>
    <t>143.</t>
  </si>
  <si>
    <t>2505-MX0245</t>
  </si>
  <si>
    <t>CUST1396</t>
  </si>
  <si>
    <t>OKE MART 2</t>
  </si>
  <si>
    <t>JL. GD ARANG, BLAKANG PUSKESMAS BENTENG</t>
  </si>
  <si>
    <t>144.</t>
  </si>
  <si>
    <t>162.</t>
  </si>
  <si>
    <t>2505-MX0236</t>
  </si>
  <si>
    <t>164.</t>
  </si>
  <si>
    <t>2505-MX0234</t>
  </si>
  <si>
    <t>KV00476</t>
  </si>
  <si>
    <t>KOPERASI PALDAM</t>
  </si>
  <si>
    <t>192.</t>
  </si>
  <si>
    <t>2505-MX0237</t>
  </si>
  <si>
    <t>KV00813</t>
  </si>
  <si>
    <t>SALLY/AIR SALOBAR</t>
  </si>
  <si>
    <t>AIR SALOBAR</t>
  </si>
  <si>
    <t>3.</t>
  </si>
  <si>
    <t>2505-MX0279</t>
  </si>
  <si>
    <t>104-CAMPINA-CAM0001</t>
  </si>
  <si>
    <t>PINK TAWIRI</t>
  </si>
  <si>
    <t>SAMPING J &amp; J TAWIRI</t>
  </si>
  <si>
    <t>4.</t>
  </si>
  <si>
    <t>42.</t>
  </si>
  <si>
    <t>2505-MX0267</t>
  </si>
  <si>
    <t>110--KIO0405</t>
  </si>
  <si>
    <t>KIOS DEWATA</t>
  </si>
  <si>
    <t>DPN MCM ASTER</t>
  </si>
  <si>
    <t>63.</t>
  </si>
  <si>
    <t>2505-MX0266</t>
  </si>
  <si>
    <t>76.</t>
  </si>
  <si>
    <t>2505-MX0264</t>
  </si>
  <si>
    <t>110--TOK0688</t>
  </si>
  <si>
    <t>TOKO IMAN</t>
  </si>
  <si>
    <t>LORONG PUTRI</t>
  </si>
  <si>
    <t>77.</t>
  </si>
  <si>
    <t>123.</t>
  </si>
  <si>
    <t>2505-MX0265</t>
  </si>
  <si>
    <t>CUST0196</t>
  </si>
  <si>
    <t>RAYAN /STAIN</t>
  </si>
  <si>
    <t>STAIN</t>
  </si>
  <si>
    <t>124.</t>
  </si>
  <si>
    <t>125.</t>
  </si>
  <si>
    <t>129.</t>
  </si>
  <si>
    <t>2505-MX0268</t>
  </si>
  <si>
    <t>130.</t>
  </si>
  <si>
    <t>131.</t>
  </si>
  <si>
    <t>132.</t>
  </si>
  <si>
    <t>133.</t>
  </si>
  <si>
    <t>134.</t>
  </si>
  <si>
    <t>2505-MX0282</t>
  </si>
  <si>
    <t>CUST1038</t>
  </si>
  <si>
    <t>ANYONG/KOBISONTA*</t>
  </si>
  <si>
    <t>KOBISONTA</t>
  </si>
  <si>
    <t>TEHORU</t>
  </si>
  <si>
    <t>135.</t>
  </si>
  <si>
    <t>64.</t>
  </si>
  <si>
    <t>2505-MX0324</t>
  </si>
  <si>
    <t>65.</t>
  </si>
  <si>
    <t>66.</t>
  </si>
  <si>
    <t>2505-MX0325</t>
  </si>
  <si>
    <t>67.</t>
  </si>
  <si>
    <t>2505-MX0328</t>
  </si>
  <si>
    <t>68.</t>
  </si>
  <si>
    <t>69.</t>
  </si>
  <si>
    <t>70.</t>
  </si>
  <si>
    <t>2505-MX0329</t>
  </si>
  <si>
    <t>71.</t>
  </si>
  <si>
    <t>72.</t>
  </si>
  <si>
    <t>73.</t>
  </si>
  <si>
    <t>74.</t>
  </si>
  <si>
    <t>2505-MX0298</t>
  </si>
  <si>
    <t>110--RIA0118</t>
  </si>
  <si>
    <t>RIA (KONTAN)</t>
  </si>
  <si>
    <t>SPG AMIR, TULEHU</t>
  </si>
  <si>
    <t>86.</t>
  </si>
  <si>
    <t>2505-MX0327</t>
  </si>
  <si>
    <t>C-PAU--001</t>
  </si>
  <si>
    <t>PAU (PASSO)</t>
  </si>
  <si>
    <t>99.</t>
  </si>
  <si>
    <t>2505-MX0302</t>
  </si>
  <si>
    <t>CUST0133</t>
  </si>
  <si>
    <t>CV. DEDES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</si>
  <si>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</si>
  <si>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</si>
  <si>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</si>
  <si>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</si>
  <si>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</si>
  <si>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</si>
  <si>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</si>
  <si>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</si>
  <si>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</si>
  <si>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</si>
  <si>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</si>
  <si>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</si>
  <si>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4100000868NEW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</si>
  <si>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</si>
  <si>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</si>
  <si>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</si>
  <si>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</si>
  <si>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</si>
  <si>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</si>
  <si>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</si>
  <si>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</si>
  <si>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</si>
  <si>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</si>
  <si>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</si>
  <si>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153.</t>
  </si>
  <si>
    <t>2505-MX0300</t>
  </si>
  <si>
    <t>KEN--0002</t>
  </si>
  <si>
    <t>TOKO TR</t>
  </si>
  <si>
    <t>WAYARI -  DEKAT GEREJA GIDEON</t>
  </si>
  <si>
    <t>154.</t>
  </si>
  <si>
    <t>155.</t>
  </si>
  <si>
    <t>2505-MX0299</t>
  </si>
  <si>
    <t>KV00118</t>
  </si>
  <si>
    <t>AISYAH TULEHU (KONTAN)</t>
  </si>
  <si>
    <t>SPG PENGINAPAN TULEHU</t>
  </si>
  <si>
    <t>156.</t>
  </si>
  <si>
    <t>160.</t>
  </si>
  <si>
    <t>2505-MX0314</t>
  </si>
  <si>
    <t>163.</t>
  </si>
  <si>
    <t>2505-MX0316</t>
  </si>
  <si>
    <t>KV00317</t>
  </si>
  <si>
    <t>GADIEL,KIOS</t>
  </si>
  <si>
    <t>SULI</t>
  </si>
  <si>
    <t>199.</t>
  </si>
  <si>
    <t>2505-MX0301</t>
  </si>
  <si>
    <t>SMP--0002</t>
  </si>
  <si>
    <t>MEDINA</t>
  </si>
  <si>
    <t>KAMPUNG TENGAH, TULEHU</t>
  </si>
  <si>
    <t>200.</t>
  </si>
  <si>
    <t>95.</t>
  </si>
  <si>
    <t>2505-MX0336</t>
  </si>
  <si>
    <t>96.</t>
  </si>
  <si>
    <t>2505-MX0337</t>
  </si>
  <si>
    <t>CUST0109</t>
  </si>
  <si>
    <t>BINTANG FAJAR</t>
  </si>
  <si>
    <t>TULEHU</t>
  </si>
  <si>
    <t>MALUKU TENGAH</t>
  </si>
  <si>
    <t>97.</t>
  </si>
  <si>
    <t>137.</t>
  </si>
  <si>
    <t>2505-MX0338</t>
  </si>
  <si>
    <t>CUST1327</t>
  </si>
  <si>
    <t>MAMA KIA/SMPG SURYA MAMO*</t>
  </si>
  <si>
    <t>138.</t>
  </si>
  <si>
    <t>139.</t>
  </si>
  <si>
    <t>146.</t>
  </si>
  <si>
    <t>2505-MX0349</t>
  </si>
  <si>
    <t>DAMAI-SEJAHTERA</t>
  </si>
  <si>
    <t>CV. DAMAI SEJAHTERA</t>
  </si>
  <si>
    <t>JL WOLTER MONGIN SIDI</t>
  </si>
  <si>
    <t>Alfa</t>
  </si>
  <si>
    <t>147.</t>
  </si>
  <si>
    <t>148.</t>
  </si>
  <si>
    <t>149.</t>
  </si>
  <si>
    <t>150.</t>
  </si>
  <si>
    <t>152.</t>
  </si>
  <si>
    <t>2505-MX0333</t>
  </si>
  <si>
    <t>FJ0001</t>
  </si>
  <si>
    <t>FAJIR</t>
  </si>
  <si>
    <t>PASAR RUMAH TIGA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</si>
</sst>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horizontal="right" vertical="top"/>
    </xf>
    <xf numFmtId="49" fontId="0" fillId="2" borderId="2" applyNumberFormat="1" applyFont="1" applyFill="1" applyBorder="1" applyAlignment="1" applyProtection="0">
      <alignment vertical="top"/>
    </xf>
    <xf numFmtId="59" fontId="0" fillId="2" borderId="2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top"/>
    </xf>
    <xf numFmtId="0" fontId="0" fillId="2" borderId="2" applyNumberFormat="1" applyFont="1" applyFill="1" applyBorder="1" applyAlignment="1" applyProtection="0">
      <alignment vertical="top"/>
    </xf>
    <xf numFmtId="4" fontId="0" fillId="2" borderId="2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horizontal="right" vertical="top"/>
    </xf>
    <xf numFmtId="49" fontId="0" fillId="2" borderId="3" applyNumberFormat="1" applyFont="1" applyFill="1" applyBorder="1" applyAlignment="1" applyProtection="0">
      <alignment vertical="top"/>
    </xf>
    <xf numFmtId="59" fontId="0" fillId="2" borderId="3" applyNumberFormat="1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0" fontId="0" fillId="2" borderId="3" applyNumberFormat="1" applyFont="1" applyFill="1" applyBorder="1" applyAlignment="1" applyProtection="0">
      <alignment vertical="top"/>
    </xf>
    <xf numFmtId="4" fontId="0" fillId="2" borderId="3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horizontal="right" vertical="top"/>
    </xf>
    <xf numFmtId="49" fontId="0" fillId="2" borderId="4" applyNumberFormat="1" applyFont="1" applyFill="1" applyBorder="1" applyAlignment="1" applyProtection="0">
      <alignment vertical="top"/>
    </xf>
    <xf numFmtId="59" fontId="0" fillId="2" borderId="4" applyNumberFormat="1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" fontId="0" fillId="2" borderId="4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V207"/>
  <sheetViews>
    <sheetView workbookViewId="0" showGridLines="0" defaultGridColor="1"/>
  </sheetViews>
  <sheetFormatPr defaultColWidth="8.83333" defaultRowHeight="13" customHeight="1" outlineLevelRow="0" outlineLevelCol="0"/>
  <cols>
    <col min="1" max="1" width="14.8516" style="1" customWidth="1"/>
    <col min="2" max="2" width="6.35156" style="1" customWidth="1"/>
    <col min="3" max="3" width="11" style="1" customWidth="1"/>
    <col min="4" max="5" width="18.6719" style="1" customWidth="1"/>
    <col min="6" max="6" width="20.6719" style="1" customWidth="1"/>
    <col min="7" max="8" width="31.1719" style="1" customWidth="1"/>
    <col min="9" max="9" width="12.5" style="1" customWidth="1"/>
    <col min="10" max="10" width="31.1719" style="1" customWidth="1"/>
    <col min="11" max="11" width="11" style="1" customWidth="1"/>
    <col min="12" max="13" width="21.8516" style="1" customWidth="1"/>
    <col min="14" max="14" width="11" style="1" customWidth="1"/>
    <col min="15" max="15" width="14" style="1" customWidth="1"/>
    <col min="16" max="16" width="17.1719" style="1" customWidth="1"/>
    <col min="17" max="17" width="23.5" style="1" customWidth="1"/>
    <col min="18" max="20" width="7.85156" style="1" customWidth="1"/>
    <col min="21" max="21" width="9.35156" style="1" customWidth="1"/>
    <col min="22" max="22" width="9.5" style="1" customWidth="1"/>
    <col min="23" max="24" width="15.6719" style="1" customWidth="1"/>
    <col min="25" max="25" width="14" style="1" customWidth="1"/>
    <col min="26" max="36" width="12.5" style="1" customWidth="1"/>
    <col min="37" max="39" width="15.6719" style="1" customWidth="1"/>
    <col min="40" max="40" width="12.5" style="1" customWidth="1"/>
    <col min="41" max="41" width="18.6719" style="1" customWidth="1"/>
    <col min="42" max="42" width="15.6719" style="1" customWidth="1"/>
    <col min="43" max="43" width="12.5" style="1" customWidth="1"/>
    <col min="44" max="44" width="14" style="1" customWidth="1"/>
    <col min="45" max="45" width="12.5" style="1" customWidth="1"/>
    <col min="46" max="46" width="17.1719" style="1" customWidth="1"/>
    <col min="47" max="47" width="12.5" style="1" customWidth="1"/>
    <col min="48" max="48" width="23.5" style="1" customWidth="1"/>
    <col min="49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</row>
    <row r="2" ht="13.65" customHeight="1">
      <c r="A2" t="s" s="3">
        <v>48</v>
      </c>
      <c r="B2" t="s" s="4">
        <v>49</v>
      </c>
      <c r="C2" s="5" cm="1">
        <f t="array" ref="C2">DATEVALUE("2025-05-02")</f>
        <v>45779</v>
      </c>
      <c r="D2" t="s" s="4">
        <v>50</v>
      </c>
      <c r="E2" t="s" s="4">
        <v>50</v>
      </c>
      <c r="F2" t="s" s="4">
        <v>51</v>
      </c>
      <c r="G2" t="s" s="4">
        <v>52</v>
      </c>
      <c r="H2" t="s" s="4">
        <v>53</v>
      </c>
      <c r="I2" s="6"/>
      <c r="J2" s="6"/>
      <c r="K2" t="s" s="4">
        <v>54</v>
      </c>
      <c r="L2" t="s" s="4">
        <v>55</v>
      </c>
      <c r="M2" s="6"/>
      <c r="N2" t="s" s="4">
        <v>56</v>
      </c>
      <c r="O2" t="s" s="4">
        <v>57</v>
      </c>
      <c r="P2" s="7">
        <v>41000001415</v>
      </c>
      <c r="Q2" s="6"/>
      <c r="R2" t="s" s="4">
        <v>58</v>
      </c>
      <c r="S2" s="8">
        <v>8</v>
      </c>
      <c r="T2" t="s" s="4">
        <v>59</v>
      </c>
      <c r="U2" s="8">
        <v>120</v>
      </c>
      <c r="V2" t="s" s="4">
        <v>60</v>
      </c>
      <c r="W2" s="8">
        <v>0</v>
      </c>
      <c r="X2" s="8">
        <v>30937.5</v>
      </c>
      <c r="Y2" s="8">
        <v>30937.5</v>
      </c>
      <c r="Z2" s="8">
        <v>247500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247500</v>
      </c>
      <c r="AM2" s="8">
        <v>27871.62</v>
      </c>
      <c r="AN2" s="8">
        <v>222972.97</v>
      </c>
      <c r="AO2" s="8">
        <v>0</v>
      </c>
      <c r="AP2" s="8">
        <v>222972.97</v>
      </c>
      <c r="AQ2" s="8">
        <v>0</v>
      </c>
      <c r="AR2" s="8">
        <v>222972.97</v>
      </c>
      <c r="AS2" s="8">
        <v>24527.03</v>
      </c>
      <c r="AT2" s="8">
        <v>247500</v>
      </c>
      <c r="AU2" t="s" s="4">
        <v>61</v>
      </c>
      <c r="AV2" t="s" s="4">
        <v>61</v>
      </c>
    </row>
    <row r="3" ht="13.65" customHeight="1">
      <c r="A3" t="s" s="9">
        <v>62</v>
      </c>
      <c r="B3" t="s" s="10">
        <v>49</v>
      </c>
      <c r="C3" s="11" cm="1">
        <f t="array" ref="C3">DATEVALUE("2025-05-02")</f>
        <v>45779</v>
      </c>
      <c r="D3" t="s" s="10">
        <v>50</v>
      </c>
      <c r="E3" t="s" s="10">
        <v>50</v>
      </c>
      <c r="F3" t="s" s="10">
        <v>51</v>
      </c>
      <c r="G3" t="s" s="10">
        <v>52</v>
      </c>
      <c r="H3" t="s" s="10">
        <v>53</v>
      </c>
      <c r="I3" s="12"/>
      <c r="J3" s="12"/>
      <c r="K3" t="s" s="10">
        <v>54</v>
      </c>
      <c r="L3" t="s" s="10">
        <v>55</v>
      </c>
      <c r="M3" s="12"/>
      <c r="N3" t="s" s="10">
        <v>56</v>
      </c>
      <c r="O3" t="s" s="10">
        <v>57</v>
      </c>
      <c r="P3" s="13">
        <v>41000001061</v>
      </c>
      <c r="Q3" s="12"/>
      <c r="R3" t="s" s="10">
        <v>58</v>
      </c>
      <c r="S3" s="14">
        <v>3</v>
      </c>
      <c r="T3" t="s" s="10">
        <v>60</v>
      </c>
      <c r="U3" s="14">
        <v>3</v>
      </c>
      <c r="V3" t="s" s="10">
        <v>60</v>
      </c>
      <c r="W3" s="14">
        <v>0</v>
      </c>
      <c r="X3" s="14">
        <v>8547</v>
      </c>
      <c r="Y3" s="14">
        <v>8547</v>
      </c>
      <c r="Z3" s="14">
        <v>25641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25641</v>
      </c>
      <c r="AM3" s="14">
        <v>7700</v>
      </c>
      <c r="AN3" s="14">
        <v>23100</v>
      </c>
      <c r="AO3" s="14">
        <v>0</v>
      </c>
      <c r="AP3" s="14">
        <v>23100</v>
      </c>
      <c r="AQ3" s="14">
        <v>0</v>
      </c>
      <c r="AR3" s="14">
        <v>23100</v>
      </c>
      <c r="AS3" s="14">
        <v>2541</v>
      </c>
      <c r="AT3" s="14">
        <v>25641</v>
      </c>
      <c r="AU3" t="s" s="10">
        <v>61</v>
      </c>
      <c r="AV3" t="s" s="10">
        <v>61</v>
      </c>
    </row>
    <row r="4" ht="13.65" customHeight="1">
      <c r="A4" t="s" s="9">
        <v>63</v>
      </c>
      <c r="B4" t="s" s="10">
        <v>49</v>
      </c>
      <c r="C4" s="11" cm="1">
        <f t="array" ref="C4">DATEVALUE("2025-05-02")</f>
        <v>45779</v>
      </c>
      <c r="D4" t="s" s="10">
        <v>50</v>
      </c>
      <c r="E4" t="s" s="10">
        <v>50</v>
      </c>
      <c r="F4" t="s" s="10">
        <v>51</v>
      </c>
      <c r="G4" t="s" s="10">
        <v>52</v>
      </c>
      <c r="H4" t="s" s="10">
        <v>53</v>
      </c>
      <c r="I4" s="12"/>
      <c r="J4" s="12"/>
      <c r="K4" t="s" s="10">
        <v>54</v>
      </c>
      <c r="L4" t="s" s="10">
        <v>55</v>
      </c>
      <c r="M4" s="12"/>
      <c r="N4" t="s" s="10">
        <v>56</v>
      </c>
      <c r="O4" t="s" s="10">
        <v>57</v>
      </c>
      <c r="P4" s="13">
        <v>4100000002</v>
      </c>
      <c r="Q4" s="12"/>
      <c r="R4" t="s" s="10">
        <v>58</v>
      </c>
      <c r="S4" s="14">
        <v>3</v>
      </c>
      <c r="T4" t="s" s="10">
        <v>60</v>
      </c>
      <c r="U4" s="14">
        <v>3</v>
      </c>
      <c r="V4" t="s" s="10">
        <v>60</v>
      </c>
      <c r="W4" s="14">
        <v>0</v>
      </c>
      <c r="X4" s="14">
        <v>8547</v>
      </c>
      <c r="Y4" s="14">
        <v>8547</v>
      </c>
      <c r="Z4" s="14">
        <v>25641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25641</v>
      </c>
      <c r="AM4" s="14">
        <v>7700</v>
      </c>
      <c r="AN4" s="14">
        <v>23100</v>
      </c>
      <c r="AO4" s="14">
        <v>0</v>
      </c>
      <c r="AP4" s="14">
        <v>23100</v>
      </c>
      <c r="AQ4" s="14">
        <v>0</v>
      </c>
      <c r="AR4" s="14">
        <v>23100</v>
      </c>
      <c r="AS4" s="14">
        <v>2541</v>
      </c>
      <c r="AT4" s="14">
        <v>25641</v>
      </c>
      <c r="AU4" t="s" s="10">
        <v>61</v>
      </c>
      <c r="AV4" t="s" s="10">
        <v>61</v>
      </c>
    </row>
    <row r="5" ht="13.65" customHeight="1">
      <c r="A5" t="s" s="9">
        <v>64</v>
      </c>
      <c r="B5" t="s" s="10">
        <v>49</v>
      </c>
      <c r="C5" s="11" cm="1">
        <f t="array" ref="C5">DATEVALUE("2025-05-02")</f>
        <v>45779</v>
      </c>
      <c r="D5" t="s" s="10">
        <v>50</v>
      </c>
      <c r="E5" t="s" s="10">
        <v>50</v>
      </c>
      <c r="F5" t="s" s="10">
        <v>51</v>
      </c>
      <c r="G5" t="s" s="10">
        <v>52</v>
      </c>
      <c r="H5" t="s" s="10">
        <v>53</v>
      </c>
      <c r="I5" s="12"/>
      <c r="J5" s="12"/>
      <c r="K5" t="s" s="10">
        <v>54</v>
      </c>
      <c r="L5" t="s" s="10">
        <v>55</v>
      </c>
      <c r="M5" s="12"/>
      <c r="N5" t="s" s="10">
        <v>56</v>
      </c>
      <c r="O5" t="s" s="10">
        <v>57</v>
      </c>
      <c r="P5" s="13">
        <v>4100000442</v>
      </c>
      <c r="Q5" s="12"/>
      <c r="R5" t="s" s="10">
        <v>58</v>
      </c>
      <c r="S5" s="14">
        <v>1</v>
      </c>
      <c r="T5" t="s" s="10">
        <v>65</v>
      </c>
      <c r="U5" s="14">
        <v>2</v>
      </c>
      <c r="V5" t="s" s="10">
        <v>66</v>
      </c>
      <c r="W5" s="14">
        <v>0</v>
      </c>
      <c r="X5" s="14">
        <v>138000</v>
      </c>
      <c r="Y5" s="14">
        <v>138000</v>
      </c>
      <c r="Z5" s="14">
        <v>138000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138000</v>
      </c>
      <c r="AM5" s="14">
        <v>124324.32</v>
      </c>
      <c r="AN5" s="14">
        <v>124324.32</v>
      </c>
      <c r="AO5" s="14">
        <v>0</v>
      </c>
      <c r="AP5" s="14">
        <v>124324.32</v>
      </c>
      <c r="AQ5" s="14">
        <v>0</v>
      </c>
      <c r="AR5" s="14">
        <v>124324.32</v>
      </c>
      <c r="AS5" s="14">
        <v>13675.68</v>
      </c>
      <c r="AT5" s="14">
        <v>138000</v>
      </c>
      <c r="AU5" t="s" s="10">
        <v>61</v>
      </c>
      <c r="AV5" t="s" s="10">
        <v>61</v>
      </c>
    </row>
    <row r="6" ht="13.65" customHeight="1">
      <c r="A6" t="s" s="9">
        <v>67</v>
      </c>
      <c r="B6" t="s" s="10">
        <v>49</v>
      </c>
      <c r="C6" s="11" cm="1">
        <f t="array" ref="C6">DATEVALUE("2025-05-02")</f>
        <v>45779</v>
      </c>
      <c r="D6" t="s" s="10">
        <v>68</v>
      </c>
      <c r="E6" t="s" s="10">
        <v>68</v>
      </c>
      <c r="F6" t="s" s="10">
        <v>69</v>
      </c>
      <c r="G6" t="s" s="10">
        <v>70</v>
      </c>
      <c r="H6" t="s" s="10">
        <v>71</v>
      </c>
      <c r="I6" s="12"/>
      <c r="J6" s="12"/>
      <c r="K6" t="s" s="10">
        <v>54</v>
      </c>
      <c r="L6" t="s" s="10">
        <v>72</v>
      </c>
      <c r="M6" s="12"/>
      <c r="N6" t="s" s="10">
        <v>56</v>
      </c>
      <c r="O6" t="s" s="10">
        <v>57</v>
      </c>
      <c r="P6" t="s" s="10">
        <v>73</v>
      </c>
      <c r="Q6" s="12"/>
      <c r="R6" t="s" s="10">
        <v>58</v>
      </c>
      <c r="S6" s="14">
        <v>1</v>
      </c>
      <c r="T6" t="s" s="10">
        <v>65</v>
      </c>
      <c r="U6" s="14">
        <v>60</v>
      </c>
      <c r="V6" t="s" s="10">
        <v>60</v>
      </c>
      <c r="W6" s="14">
        <v>0</v>
      </c>
      <c r="X6" s="14">
        <v>102300</v>
      </c>
      <c r="Y6" s="14">
        <v>102300</v>
      </c>
      <c r="Z6" s="14">
        <v>102300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102300</v>
      </c>
      <c r="AM6" s="14">
        <v>92162.16</v>
      </c>
      <c r="AN6" s="14">
        <v>92162.16</v>
      </c>
      <c r="AO6" s="14">
        <v>0</v>
      </c>
      <c r="AP6" s="14">
        <v>92162.16</v>
      </c>
      <c r="AQ6" s="14">
        <v>0</v>
      </c>
      <c r="AR6" s="14">
        <v>92162.16</v>
      </c>
      <c r="AS6" s="14">
        <v>10137.84</v>
      </c>
      <c r="AT6" s="14">
        <v>102300</v>
      </c>
      <c r="AU6" t="s" s="10">
        <v>61</v>
      </c>
      <c r="AV6" t="s" s="10">
        <v>61</v>
      </c>
    </row>
    <row r="7" ht="13.65" customHeight="1">
      <c r="A7" t="s" s="9">
        <v>74</v>
      </c>
      <c r="B7" t="s" s="10">
        <v>49</v>
      </c>
      <c r="C7" s="11" cm="1">
        <f t="array" ref="C7">DATEVALUE("2025-05-02")</f>
        <v>45779</v>
      </c>
      <c r="D7" t="s" s="10">
        <v>75</v>
      </c>
      <c r="E7" t="s" s="10">
        <v>75</v>
      </c>
      <c r="F7" t="s" s="10">
        <v>76</v>
      </c>
      <c r="G7" t="s" s="10">
        <v>77</v>
      </c>
      <c r="H7" t="s" s="10">
        <v>71</v>
      </c>
      <c r="I7" s="12"/>
      <c r="J7" s="12"/>
      <c r="K7" t="s" s="10">
        <v>54</v>
      </c>
      <c r="L7" t="s" s="10">
        <v>72</v>
      </c>
      <c r="M7" s="12"/>
      <c r="N7" t="s" s="10">
        <v>56</v>
      </c>
      <c r="O7" t="s" s="10">
        <v>57</v>
      </c>
      <c r="P7" s="13">
        <v>4100000909</v>
      </c>
      <c r="Q7" s="12"/>
      <c r="R7" t="s" s="10">
        <v>58</v>
      </c>
      <c r="S7" s="14">
        <v>2</v>
      </c>
      <c r="T7" t="s" s="10">
        <v>65</v>
      </c>
      <c r="U7" s="14">
        <v>32</v>
      </c>
      <c r="V7" t="s" s="10">
        <v>60</v>
      </c>
      <c r="W7" s="14">
        <v>0</v>
      </c>
      <c r="X7" s="14">
        <v>132000</v>
      </c>
      <c r="Y7" s="14">
        <v>132000</v>
      </c>
      <c r="Z7" s="14">
        <v>264000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264000</v>
      </c>
      <c r="AM7" s="14">
        <v>118918.92</v>
      </c>
      <c r="AN7" s="14">
        <v>237837.84</v>
      </c>
      <c r="AO7" s="14">
        <v>0</v>
      </c>
      <c r="AP7" s="14">
        <v>237837.84</v>
      </c>
      <c r="AQ7" s="14">
        <v>0</v>
      </c>
      <c r="AR7" s="14">
        <v>237837.84</v>
      </c>
      <c r="AS7" s="14">
        <v>26162.16</v>
      </c>
      <c r="AT7" s="14">
        <v>264000</v>
      </c>
      <c r="AU7" t="s" s="10">
        <v>61</v>
      </c>
      <c r="AV7" t="s" s="10">
        <v>61</v>
      </c>
    </row>
    <row r="8" ht="13.65" customHeight="1">
      <c r="A8" t="s" s="9">
        <v>78</v>
      </c>
      <c r="B8" t="s" s="10">
        <v>49</v>
      </c>
      <c r="C8" s="11" cm="1">
        <f t="array" ref="C8">DATEVALUE("2025-05-02")</f>
        <v>45779</v>
      </c>
      <c r="D8" t="s" s="10">
        <v>75</v>
      </c>
      <c r="E8" t="s" s="10">
        <v>75</v>
      </c>
      <c r="F8" t="s" s="10">
        <v>76</v>
      </c>
      <c r="G8" t="s" s="10">
        <v>77</v>
      </c>
      <c r="H8" t="s" s="10">
        <v>71</v>
      </c>
      <c r="I8" s="12"/>
      <c r="J8" s="12"/>
      <c r="K8" t="s" s="10">
        <v>54</v>
      </c>
      <c r="L8" t="s" s="10">
        <v>72</v>
      </c>
      <c r="M8" s="12"/>
      <c r="N8" t="s" s="10">
        <v>56</v>
      </c>
      <c r="O8" t="s" s="10">
        <v>57</v>
      </c>
      <c r="P8" s="13">
        <v>4100000920</v>
      </c>
      <c r="Q8" s="12"/>
      <c r="R8" t="s" s="10">
        <v>58</v>
      </c>
      <c r="S8" s="14">
        <v>2</v>
      </c>
      <c r="T8" t="s" s="10">
        <v>65</v>
      </c>
      <c r="U8" s="14">
        <v>32</v>
      </c>
      <c r="V8" t="s" s="10">
        <v>60</v>
      </c>
      <c r="W8" s="14">
        <v>0</v>
      </c>
      <c r="X8" s="14">
        <v>132000</v>
      </c>
      <c r="Y8" s="14">
        <v>132000</v>
      </c>
      <c r="Z8" s="14">
        <v>264000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264000</v>
      </c>
      <c r="AM8" s="14">
        <v>118918.92</v>
      </c>
      <c r="AN8" s="14">
        <v>237837.84</v>
      </c>
      <c r="AO8" s="14">
        <v>0</v>
      </c>
      <c r="AP8" s="14">
        <v>237837.84</v>
      </c>
      <c r="AQ8" s="14">
        <v>0</v>
      </c>
      <c r="AR8" s="14">
        <v>237837.84</v>
      </c>
      <c r="AS8" s="14">
        <v>26162.16</v>
      </c>
      <c r="AT8" s="14">
        <v>264000</v>
      </c>
      <c r="AU8" t="s" s="10">
        <v>61</v>
      </c>
      <c r="AV8" t="s" s="10">
        <v>61</v>
      </c>
    </row>
    <row r="9" ht="13.65" customHeight="1">
      <c r="A9" t="s" s="9">
        <v>79</v>
      </c>
      <c r="B9" t="s" s="10">
        <v>49</v>
      </c>
      <c r="C9" s="11" cm="1">
        <f t="array" ref="C9">DATEVALUE("2025-05-03")</f>
        <v>45780</v>
      </c>
      <c r="D9" t="s" s="10">
        <v>80</v>
      </c>
      <c r="E9" t="s" s="10">
        <v>80</v>
      </c>
      <c r="F9" t="s" s="10">
        <v>81</v>
      </c>
      <c r="G9" t="s" s="10">
        <v>82</v>
      </c>
      <c r="H9" t="s" s="10">
        <v>83</v>
      </c>
      <c r="I9" s="12"/>
      <c r="J9" s="12"/>
      <c r="K9" t="s" s="10">
        <v>54</v>
      </c>
      <c r="L9" t="s" s="10">
        <v>72</v>
      </c>
      <c r="M9" s="12"/>
      <c r="N9" t="s" s="10">
        <v>56</v>
      </c>
      <c r="O9" t="s" s="10">
        <v>57</v>
      </c>
      <c r="P9" t="s" s="10">
        <v>73</v>
      </c>
      <c r="Q9" s="12"/>
      <c r="R9" t="s" s="10">
        <v>58</v>
      </c>
      <c r="S9" s="14">
        <v>1</v>
      </c>
      <c r="T9" t="s" s="10">
        <v>65</v>
      </c>
      <c r="U9" s="14">
        <v>60</v>
      </c>
      <c r="V9" t="s" s="10">
        <v>60</v>
      </c>
      <c r="W9" s="14">
        <v>0</v>
      </c>
      <c r="X9" s="14">
        <v>102300</v>
      </c>
      <c r="Y9" s="14">
        <v>102300</v>
      </c>
      <c r="Z9" s="14">
        <v>102300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102300</v>
      </c>
      <c r="AM9" s="14">
        <v>92162.16</v>
      </c>
      <c r="AN9" s="14">
        <v>92162.16</v>
      </c>
      <c r="AO9" s="14">
        <v>0</v>
      </c>
      <c r="AP9" s="14">
        <v>92162.16</v>
      </c>
      <c r="AQ9" s="14">
        <v>0</v>
      </c>
      <c r="AR9" s="14">
        <v>92162.16</v>
      </c>
      <c r="AS9" s="14">
        <v>10137.84</v>
      </c>
      <c r="AT9" s="14">
        <v>102300</v>
      </c>
      <c r="AU9" t="s" s="10">
        <v>61</v>
      </c>
      <c r="AV9" t="s" s="10">
        <v>61</v>
      </c>
    </row>
    <row r="10" ht="13.65" customHeight="1">
      <c r="A10" t="s" s="9">
        <v>84</v>
      </c>
      <c r="B10" t="s" s="10">
        <v>49</v>
      </c>
      <c r="C10" s="11" cm="1">
        <f t="array" ref="C10">DATEVALUE("2025-05-03")</f>
        <v>45780</v>
      </c>
      <c r="D10" t="s" s="10">
        <v>85</v>
      </c>
      <c r="E10" t="s" s="10">
        <v>85</v>
      </c>
      <c r="F10" t="s" s="10">
        <v>86</v>
      </c>
      <c r="G10" t="s" s="10">
        <v>87</v>
      </c>
      <c r="H10" t="s" s="10">
        <v>88</v>
      </c>
      <c r="I10" s="12"/>
      <c r="J10" s="12"/>
      <c r="K10" t="s" s="10">
        <v>54</v>
      </c>
      <c r="L10" t="s" s="10">
        <v>72</v>
      </c>
      <c r="M10" s="12"/>
      <c r="N10" t="s" s="10">
        <v>56</v>
      </c>
      <c r="O10" t="s" s="10">
        <v>57</v>
      </c>
      <c r="P10" t="s" s="10">
        <v>73</v>
      </c>
      <c r="Q10" s="12"/>
      <c r="R10" t="s" s="10">
        <v>58</v>
      </c>
      <c r="S10" s="14">
        <v>1</v>
      </c>
      <c r="T10" t="s" s="10">
        <v>65</v>
      </c>
      <c r="U10" s="14">
        <v>60</v>
      </c>
      <c r="V10" t="s" s="10">
        <v>60</v>
      </c>
      <c r="W10" s="14">
        <v>0</v>
      </c>
      <c r="X10" s="14">
        <v>102300</v>
      </c>
      <c r="Y10" s="14">
        <v>102300</v>
      </c>
      <c r="Z10" s="14">
        <v>102300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102300</v>
      </c>
      <c r="AM10" s="14">
        <v>92162.16</v>
      </c>
      <c r="AN10" s="14">
        <v>92162.16</v>
      </c>
      <c r="AO10" s="14">
        <v>0</v>
      </c>
      <c r="AP10" s="14">
        <v>92162.16</v>
      </c>
      <c r="AQ10" s="14">
        <v>0</v>
      </c>
      <c r="AR10" s="14">
        <v>92162.16</v>
      </c>
      <c r="AS10" s="14">
        <v>10137.84</v>
      </c>
      <c r="AT10" s="14">
        <v>102300</v>
      </c>
      <c r="AU10" t="s" s="10">
        <v>61</v>
      </c>
      <c r="AV10" t="s" s="10">
        <v>61</v>
      </c>
    </row>
    <row r="11" ht="13.65" customHeight="1">
      <c r="A11" t="s" s="9">
        <v>89</v>
      </c>
      <c r="B11" t="s" s="10">
        <v>49</v>
      </c>
      <c r="C11" s="11" cm="1">
        <f t="array" ref="C11">DATEVALUE("2025-05-03")</f>
        <v>45780</v>
      </c>
      <c r="D11" t="s" s="10">
        <v>85</v>
      </c>
      <c r="E11" t="s" s="10">
        <v>85</v>
      </c>
      <c r="F11" t="s" s="10">
        <v>86</v>
      </c>
      <c r="G11" t="s" s="10">
        <v>87</v>
      </c>
      <c r="H11" t="s" s="10">
        <v>88</v>
      </c>
      <c r="I11" s="12"/>
      <c r="J11" s="12"/>
      <c r="K11" t="s" s="10">
        <v>54</v>
      </c>
      <c r="L11" t="s" s="10">
        <v>72</v>
      </c>
      <c r="M11" s="12"/>
      <c r="N11" t="s" s="10">
        <v>56</v>
      </c>
      <c r="O11" t="s" s="10">
        <v>57</v>
      </c>
      <c r="P11" s="13">
        <v>4100001151</v>
      </c>
      <c r="Q11" s="12"/>
      <c r="R11" t="s" s="10">
        <v>58</v>
      </c>
      <c r="S11" s="14">
        <v>1</v>
      </c>
      <c r="T11" t="s" s="10">
        <v>65</v>
      </c>
      <c r="U11" s="14">
        <v>60</v>
      </c>
      <c r="V11" t="s" s="10">
        <v>60</v>
      </c>
      <c r="W11" s="14">
        <v>0</v>
      </c>
      <c r="X11" s="14">
        <v>102300</v>
      </c>
      <c r="Y11" s="14">
        <v>102300</v>
      </c>
      <c r="Z11" s="14">
        <v>102300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102300</v>
      </c>
      <c r="AM11" s="14">
        <v>92162.16</v>
      </c>
      <c r="AN11" s="14">
        <v>92162.16</v>
      </c>
      <c r="AO11" s="14">
        <v>0</v>
      </c>
      <c r="AP11" s="14">
        <v>92162.16</v>
      </c>
      <c r="AQ11" s="14">
        <v>0</v>
      </c>
      <c r="AR11" s="14">
        <v>92162.16</v>
      </c>
      <c r="AS11" s="14">
        <v>10137.84</v>
      </c>
      <c r="AT11" s="14">
        <v>102300</v>
      </c>
      <c r="AU11" t="s" s="10">
        <v>61</v>
      </c>
      <c r="AV11" t="s" s="10">
        <v>61</v>
      </c>
    </row>
    <row r="12" ht="13.65" customHeight="1">
      <c r="A12" t="s" s="9">
        <v>90</v>
      </c>
      <c r="B12" t="s" s="10">
        <v>49</v>
      </c>
      <c r="C12" s="11" cm="1">
        <f t="array" ref="C12">DATEVALUE("2025-05-03")</f>
        <v>45780</v>
      </c>
      <c r="D12" t="s" s="10">
        <v>91</v>
      </c>
      <c r="E12" t="s" s="10">
        <v>91</v>
      </c>
      <c r="F12" t="s" s="10">
        <v>92</v>
      </c>
      <c r="G12" t="s" s="10">
        <v>93</v>
      </c>
      <c r="H12" t="s" s="10">
        <v>94</v>
      </c>
      <c r="I12" s="12"/>
      <c r="J12" s="12"/>
      <c r="K12" t="s" s="10">
        <v>95</v>
      </c>
      <c r="L12" t="s" s="10">
        <v>55</v>
      </c>
      <c r="M12" s="12"/>
      <c r="N12" t="s" s="10">
        <v>56</v>
      </c>
      <c r="O12" t="s" s="10">
        <v>57</v>
      </c>
      <c r="P12" s="13">
        <v>4100001374</v>
      </c>
      <c r="Q12" s="12"/>
      <c r="R12" t="s" s="10">
        <v>58</v>
      </c>
      <c r="S12" s="14">
        <v>4</v>
      </c>
      <c r="T12" t="s" s="10">
        <v>65</v>
      </c>
      <c r="U12" s="14">
        <v>480</v>
      </c>
      <c r="V12" t="s" s="10">
        <v>60</v>
      </c>
      <c r="W12" s="14">
        <v>0</v>
      </c>
      <c r="X12" s="14">
        <v>206499.6</v>
      </c>
      <c r="Y12" s="14">
        <v>224399.9</v>
      </c>
      <c r="Z12" s="14">
        <v>897599.6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897599.6</v>
      </c>
      <c r="AM12" s="14">
        <v>202162.07</v>
      </c>
      <c r="AN12" s="14">
        <v>808648.29</v>
      </c>
      <c r="AO12" s="14">
        <v>0</v>
      </c>
      <c r="AP12" s="14">
        <v>808648.29</v>
      </c>
      <c r="AQ12" s="14">
        <v>0</v>
      </c>
      <c r="AR12" s="14">
        <v>808648.29</v>
      </c>
      <c r="AS12" s="14">
        <v>88951.31</v>
      </c>
      <c r="AT12" s="14">
        <v>897599.6</v>
      </c>
      <c r="AU12" t="s" s="10">
        <v>96</v>
      </c>
      <c r="AV12" t="s" s="10">
        <v>96</v>
      </c>
    </row>
    <row r="13" ht="13.65" customHeight="1">
      <c r="A13" t="s" s="9">
        <v>97</v>
      </c>
      <c r="B13" t="s" s="10">
        <v>49</v>
      </c>
      <c r="C13" s="11" cm="1">
        <f t="array" ref="C13">DATEVALUE("2025-05-03")</f>
        <v>45780</v>
      </c>
      <c r="D13" t="s" s="10">
        <v>98</v>
      </c>
      <c r="E13" t="s" s="10">
        <v>98</v>
      </c>
      <c r="F13" t="s" s="10">
        <v>99</v>
      </c>
      <c r="G13" t="s" s="10">
        <v>100</v>
      </c>
      <c r="H13" t="s" s="10">
        <v>101</v>
      </c>
      <c r="I13" s="12"/>
      <c r="J13" s="12"/>
      <c r="K13" t="s" s="10">
        <v>54</v>
      </c>
      <c r="L13" t="s" s="10">
        <v>72</v>
      </c>
      <c r="M13" s="12"/>
      <c r="N13" t="s" s="10">
        <v>56</v>
      </c>
      <c r="O13" t="s" s="10">
        <v>57</v>
      </c>
      <c r="P13" t="s" s="10">
        <v>102</v>
      </c>
      <c r="Q13" s="12"/>
      <c r="R13" t="s" s="10">
        <v>58</v>
      </c>
      <c r="S13" s="14">
        <v>12</v>
      </c>
      <c r="T13" t="s" s="10">
        <v>60</v>
      </c>
      <c r="U13" s="14">
        <v>12</v>
      </c>
      <c r="V13" t="s" s="10">
        <v>60</v>
      </c>
      <c r="W13" s="14">
        <v>0</v>
      </c>
      <c r="X13" s="14">
        <v>5750</v>
      </c>
      <c r="Y13" s="14">
        <v>5750</v>
      </c>
      <c r="Z13" s="14">
        <v>69000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69000</v>
      </c>
      <c r="AM13" s="14">
        <v>5180.18</v>
      </c>
      <c r="AN13" s="14">
        <v>62162.16</v>
      </c>
      <c r="AO13" s="14">
        <v>0</v>
      </c>
      <c r="AP13" s="14">
        <v>62162.16</v>
      </c>
      <c r="AQ13" s="14">
        <v>0</v>
      </c>
      <c r="AR13" s="14">
        <v>62162.16</v>
      </c>
      <c r="AS13" s="14">
        <v>6837.84</v>
      </c>
      <c r="AT13" s="14">
        <v>69000</v>
      </c>
      <c r="AU13" t="s" s="10">
        <v>61</v>
      </c>
      <c r="AV13" t="s" s="10">
        <v>61</v>
      </c>
    </row>
    <row r="14" ht="13.65" customHeight="1">
      <c r="A14" t="s" s="9">
        <v>103</v>
      </c>
      <c r="B14" t="s" s="10">
        <v>49</v>
      </c>
      <c r="C14" s="11" cm="1">
        <f t="array" ref="C14">DATEVALUE("2025-05-03")</f>
        <v>45780</v>
      </c>
      <c r="D14" t="s" s="10">
        <v>104</v>
      </c>
      <c r="E14" t="s" s="10">
        <v>104</v>
      </c>
      <c r="F14" t="s" s="10">
        <v>105</v>
      </c>
      <c r="G14" t="s" s="10">
        <v>106</v>
      </c>
      <c r="H14" t="s" s="10">
        <v>107</v>
      </c>
      <c r="I14" s="12"/>
      <c r="J14" s="12"/>
      <c r="K14" t="s" s="10">
        <v>54</v>
      </c>
      <c r="L14" t="s" s="10">
        <v>72</v>
      </c>
      <c r="M14" s="12"/>
      <c r="N14" t="s" s="10">
        <v>56</v>
      </c>
      <c r="O14" t="s" s="10">
        <v>57</v>
      </c>
      <c r="P14" s="13">
        <v>4100001128</v>
      </c>
      <c r="Q14" s="12"/>
      <c r="R14" t="s" s="10">
        <v>58</v>
      </c>
      <c r="S14" s="14">
        <v>3</v>
      </c>
      <c r="T14" t="s" s="10">
        <v>65</v>
      </c>
      <c r="U14" s="14">
        <v>180</v>
      </c>
      <c r="V14" t="s" s="10">
        <v>60</v>
      </c>
      <c r="W14" s="14">
        <v>0</v>
      </c>
      <c r="X14" s="14">
        <v>102300</v>
      </c>
      <c r="Y14" s="14">
        <v>102300</v>
      </c>
      <c r="Z14" s="14">
        <v>306900</v>
      </c>
      <c r="AA14" s="14">
        <v>42</v>
      </c>
      <c r="AB14" s="14">
        <v>42966</v>
      </c>
      <c r="AC14" s="14">
        <v>8</v>
      </c>
      <c r="AD14" s="14">
        <v>4746.72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143138.16</v>
      </c>
      <c r="AL14" s="14">
        <v>163761.84</v>
      </c>
      <c r="AM14" s="14">
        <v>92162.16</v>
      </c>
      <c r="AN14" s="14">
        <v>276486.49</v>
      </c>
      <c r="AO14" s="14">
        <v>128953.3</v>
      </c>
      <c r="AP14" s="14">
        <v>147533.19</v>
      </c>
      <c r="AQ14" s="14">
        <v>0</v>
      </c>
      <c r="AR14" s="14">
        <v>147533.19</v>
      </c>
      <c r="AS14" s="14">
        <v>16228.65</v>
      </c>
      <c r="AT14" s="14">
        <v>163761.84</v>
      </c>
      <c r="AU14" t="s" s="10">
        <v>61</v>
      </c>
      <c r="AV14" t="s" s="10">
        <v>61</v>
      </c>
    </row>
    <row r="15" ht="13.65" customHeight="1">
      <c r="A15" t="s" s="9">
        <v>108</v>
      </c>
      <c r="B15" t="s" s="10">
        <v>49</v>
      </c>
      <c r="C15" s="11" cm="1">
        <f t="array" ref="C15">DATEVALUE("2025-05-05")</f>
        <v>45782</v>
      </c>
      <c r="D15" t="s" s="10">
        <v>109</v>
      </c>
      <c r="E15" t="s" s="10">
        <v>109</v>
      </c>
      <c r="F15" t="s" s="10">
        <v>110</v>
      </c>
      <c r="G15" t="s" s="10">
        <v>111</v>
      </c>
      <c r="H15" t="s" s="10">
        <v>112</v>
      </c>
      <c r="I15" s="12"/>
      <c r="J15" s="12"/>
      <c r="K15" t="s" s="10">
        <v>54</v>
      </c>
      <c r="L15" t="s" s="10">
        <v>72</v>
      </c>
      <c r="M15" s="12"/>
      <c r="N15" t="s" s="10">
        <v>56</v>
      </c>
      <c r="O15" t="s" s="10">
        <v>57</v>
      </c>
      <c r="P15" s="13">
        <v>4100001206</v>
      </c>
      <c r="Q15" s="12"/>
      <c r="R15" t="s" s="10">
        <v>58</v>
      </c>
      <c r="S15" s="14">
        <v>5</v>
      </c>
      <c r="T15" t="s" s="10">
        <v>65</v>
      </c>
      <c r="U15" s="14">
        <v>300</v>
      </c>
      <c r="V15" t="s" s="10">
        <v>60</v>
      </c>
      <c r="W15" s="14">
        <v>0</v>
      </c>
      <c r="X15" s="14">
        <v>102300</v>
      </c>
      <c r="Y15" s="14">
        <v>102300</v>
      </c>
      <c r="Z15" s="14">
        <v>511500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511500</v>
      </c>
      <c r="AM15" s="14">
        <v>92162.16</v>
      </c>
      <c r="AN15" s="14">
        <v>460810.81</v>
      </c>
      <c r="AO15" s="14">
        <v>0</v>
      </c>
      <c r="AP15" s="14">
        <v>460810.81</v>
      </c>
      <c r="AQ15" s="14">
        <v>0</v>
      </c>
      <c r="AR15" s="14">
        <v>460810.81</v>
      </c>
      <c r="AS15" s="14">
        <v>50689.19</v>
      </c>
      <c r="AT15" s="14">
        <v>511500</v>
      </c>
      <c r="AU15" t="s" s="10">
        <v>61</v>
      </c>
      <c r="AV15" t="s" s="10">
        <v>61</v>
      </c>
    </row>
    <row r="16" ht="13.65" customHeight="1">
      <c r="A16" t="s" s="9">
        <v>113</v>
      </c>
      <c r="B16" t="s" s="10">
        <v>49</v>
      </c>
      <c r="C16" s="11" cm="1">
        <f t="array" ref="C16">DATEVALUE("2025-05-05")</f>
        <v>45782</v>
      </c>
      <c r="D16" t="s" s="10">
        <v>109</v>
      </c>
      <c r="E16" t="s" s="10">
        <v>109</v>
      </c>
      <c r="F16" t="s" s="10">
        <v>110</v>
      </c>
      <c r="G16" t="s" s="10">
        <v>111</v>
      </c>
      <c r="H16" t="s" s="10">
        <v>112</v>
      </c>
      <c r="I16" s="12"/>
      <c r="J16" s="12"/>
      <c r="K16" t="s" s="10">
        <v>54</v>
      </c>
      <c r="L16" t="s" s="10">
        <v>72</v>
      </c>
      <c r="M16" s="12"/>
      <c r="N16" t="s" s="10">
        <v>56</v>
      </c>
      <c r="O16" t="s" s="10">
        <v>57</v>
      </c>
      <c r="P16" t="s" s="10">
        <v>73</v>
      </c>
      <c r="Q16" s="12"/>
      <c r="R16" t="s" s="10">
        <v>58</v>
      </c>
      <c r="S16" s="14">
        <v>5</v>
      </c>
      <c r="T16" t="s" s="10">
        <v>65</v>
      </c>
      <c r="U16" s="14">
        <v>300</v>
      </c>
      <c r="V16" t="s" s="10">
        <v>60</v>
      </c>
      <c r="W16" s="14">
        <v>0</v>
      </c>
      <c r="X16" s="14">
        <v>102300</v>
      </c>
      <c r="Y16" s="14">
        <v>102300</v>
      </c>
      <c r="Z16" s="14">
        <v>511500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511500</v>
      </c>
      <c r="AM16" s="14">
        <v>92162.16</v>
      </c>
      <c r="AN16" s="14">
        <v>460810.81</v>
      </c>
      <c r="AO16" s="14">
        <v>0</v>
      </c>
      <c r="AP16" s="14">
        <v>460810.81</v>
      </c>
      <c r="AQ16" s="14">
        <v>0</v>
      </c>
      <c r="AR16" s="14">
        <v>460810.81</v>
      </c>
      <c r="AS16" s="14">
        <v>50689.19</v>
      </c>
      <c r="AT16" s="14">
        <v>511500</v>
      </c>
      <c r="AU16" t="s" s="10">
        <v>61</v>
      </c>
      <c r="AV16" t="s" s="10">
        <v>61</v>
      </c>
    </row>
    <row r="17" ht="13.65" customHeight="1">
      <c r="A17" t="s" s="9">
        <v>114</v>
      </c>
      <c r="B17" t="s" s="10">
        <v>49</v>
      </c>
      <c r="C17" s="11" cm="1">
        <f t="array" ref="C17">DATEVALUE("2025-05-05")</f>
        <v>45782</v>
      </c>
      <c r="D17" t="s" s="10">
        <v>115</v>
      </c>
      <c r="E17" t="s" s="10">
        <v>115</v>
      </c>
      <c r="F17" t="s" s="10">
        <v>116</v>
      </c>
      <c r="G17" t="s" s="10">
        <v>117</v>
      </c>
      <c r="H17" t="s" s="10">
        <v>118</v>
      </c>
      <c r="I17" s="12"/>
      <c r="J17" s="12"/>
      <c r="K17" t="s" s="10">
        <v>54</v>
      </c>
      <c r="L17" t="s" s="10">
        <v>72</v>
      </c>
      <c r="M17" s="12"/>
      <c r="N17" t="s" s="10">
        <v>56</v>
      </c>
      <c r="O17" t="s" s="10">
        <v>57</v>
      </c>
      <c r="P17" s="13">
        <v>41000001424</v>
      </c>
      <c r="Q17" s="12"/>
      <c r="R17" t="s" s="10">
        <v>58</v>
      </c>
      <c r="S17" s="14">
        <v>1</v>
      </c>
      <c r="T17" t="s" s="10">
        <v>119</v>
      </c>
      <c r="U17" s="14">
        <v>12</v>
      </c>
      <c r="V17" t="s" s="10">
        <v>120</v>
      </c>
      <c r="W17" s="14">
        <v>0</v>
      </c>
      <c r="X17" s="14">
        <v>90000</v>
      </c>
      <c r="Y17" s="14">
        <v>90000</v>
      </c>
      <c r="Z17" s="14">
        <v>90000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90000</v>
      </c>
      <c r="AM17" s="14">
        <v>81081.08</v>
      </c>
      <c r="AN17" s="14">
        <v>81081.08</v>
      </c>
      <c r="AO17" s="14">
        <v>0</v>
      </c>
      <c r="AP17" s="14">
        <v>81081.08</v>
      </c>
      <c r="AQ17" s="14">
        <v>0</v>
      </c>
      <c r="AR17" s="14">
        <v>81081.08</v>
      </c>
      <c r="AS17" s="14">
        <v>8918.92</v>
      </c>
      <c r="AT17" s="14">
        <v>90000</v>
      </c>
      <c r="AU17" t="s" s="10">
        <v>61</v>
      </c>
      <c r="AV17" t="s" s="10">
        <v>61</v>
      </c>
    </row>
    <row r="18" ht="13.65" customHeight="1">
      <c r="A18" t="s" s="9">
        <v>121</v>
      </c>
      <c r="B18" t="s" s="10">
        <v>49</v>
      </c>
      <c r="C18" s="11" cm="1">
        <f t="array" ref="C18">DATEVALUE("2025-05-05")</f>
        <v>45782</v>
      </c>
      <c r="D18" t="s" s="10">
        <v>115</v>
      </c>
      <c r="E18" t="s" s="10">
        <v>115</v>
      </c>
      <c r="F18" t="s" s="10">
        <v>116</v>
      </c>
      <c r="G18" t="s" s="10">
        <v>117</v>
      </c>
      <c r="H18" t="s" s="10">
        <v>118</v>
      </c>
      <c r="I18" s="12"/>
      <c r="J18" s="12"/>
      <c r="K18" t="s" s="10">
        <v>54</v>
      </c>
      <c r="L18" t="s" s="10">
        <v>72</v>
      </c>
      <c r="M18" s="12"/>
      <c r="N18" t="s" s="10">
        <v>56</v>
      </c>
      <c r="O18" t="s" s="10">
        <v>57</v>
      </c>
      <c r="P18" t="s" s="10">
        <v>122</v>
      </c>
      <c r="Q18" s="12"/>
      <c r="R18" t="s" s="10">
        <v>58</v>
      </c>
      <c r="S18" s="14">
        <v>4</v>
      </c>
      <c r="T18" t="s" s="10">
        <v>123</v>
      </c>
      <c r="U18" s="14">
        <v>48</v>
      </c>
      <c r="V18" t="s" s="10">
        <v>60</v>
      </c>
      <c r="W18" s="14">
        <v>0</v>
      </c>
      <c r="X18" s="14">
        <v>10725.6</v>
      </c>
      <c r="Y18" s="14">
        <v>10725.6</v>
      </c>
      <c r="Z18" s="14">
        <v>42902.4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42902.4</v>
      </c>
      <c r="AM18" s="14">
        <v>9662.700000000001</v>
      </c>
      <c r="AN18" s="14">
        <v>38650.81</v>
      </c>
      <c r="AO18" s="14">
        <v>0</v>
      </c>
      <c r="AP18" s="14">
        <v>38650.81</v>
      </c>
      <c r="AQ18" s="14">
        <v>0</v>
      </c>
      <c r="AR18" s="14">
        <v>38650.81</v>
      </c>
      <c r="AS18" s="14">
        <v>4251.59</v>
      </c>
      <c r="AT18" s="14">
        <v>42902.4</v>
      </c>
      <c r="AU18" t="s" s="10">
        <v>61</v>
      </c>
      <c r="AV18" t="s" s="10">
        <v>61</v>
      </c>
    </row>
    <row r="19" ht="13.65" customHeight="1">
      <c r="A19" t="s" s="9">
        <v>124</v>
      </c>
      <c r="B19" t="s" s="10">
        <v>49</v>
      </c>
      <c r="C19" s="11" cm="1">
        <f t="array" ref="C19">DATEVALUE("2025-05-05")</f>
        <v>45782</v>
      </c>
      <c r="D19" t="s" s="10">
        <v>115</v>
      </c>
      <c r="E19" t="s" s="10">
        <v>115</v>
      </c>
      <c r="F19" t="s" s="10">
        <v>116</v>
      </c>
      <c r="G19" t="s" s="10">
        <v>117</v>
      </c>
      <c r="H19" t="s" s="10">
        <v>118</v>
      </c>
      <c r="I19" s="12"/>
      <c r="J19" s="12"/>
      <c r="K19" t="s" s="10">
        <v>54</v>
      </c>
      <c r="L19" t="s" s="10">
        <v>72</v>
      </c>
      <c r="M19" s="12"/>
      <c r="N19" t="s" s="10">
        <v>56</v>
      </c>
      <c r="O19" t="s" s="10">
        <v>57</v>
      </c>
      <c r="P19" t="s" s="10">
        <v>125</v>
      </c>
      <c r="Q19" s="12"/>
      <c r="R19" t="s" s="10">
        <v>58</v>
      </c>
      <c r="S19" s="14">
        <v>4</v>
      </c>
      <c r="T19" t="s" s="10">
        <v>123</v>
      </c>
      <c r="U19" s="14">
        <v>48</v>
      </c>
      <c r="V19" t="s" s="10">
        <v>60</v>
      </c>
      <c r="W19" s="14">
        <v>0</v>
      </c>
      <c r="X19" s="14">
        <v>10725.6</v>
      </c>
      <c r="Y19" s="14">
        <v>10725.6</v>
      </c>
      <c r="Z19" s="14">
        <v>42902.4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42902.4</v>
      </c>
      <c r="AM19" s="14">
        <v>9662.700000000001</v>
      </c>
      <c r="AN19" s="14">
        <v>38650.81</v>
      </c>
      <c r="AO19" s="14">
        <v>0</v>
      </c>
      <c r="AP19" s="14">
        <v>38650.81</v>
      </c>
      <c r="AQ19" s="14">
        <v>0</v>
      </c>
      <c r="AR19" s="14">
        <v>38650.81</v>
      </c>
      <c r="AS19" s="14">
        <v>4251.59</v>
      </c>
      <c r="AT19" s="14">
        <v>42902.4</v>
      </c>
      <c r="AU19" t="s" s="10">
        <v>61</v>
      </c>
      <c r="AV19" t="s" s="10">
        <v>61</v>
      </c>
    </row>
    <row r="20" ht="13.65" customHeight="1">
      <c r="A20" t="s" s="9">
        <v>126</v>
      </c>
      <c r="B20" t="s" s="10">
        <v>49</v>
      </c>
      <c r="C20" s="11" cm="1">
        <f t="array" ref="C20">DATEVALUE("2025-05-05")</f>
        <v>45782</v>
      </c>
      <c r="D20" t="s" s="10">
        <v>127</v>
      </c>
      <c r="E20" t="s" s="10">
        <v>127</v>
      </c>
      <c r="F20" t="s" s="10">
        <v>128</v>
      </c>
      <c r="G20" t="s" s="10">
        <v>129</v>
      </c>
      <c r="H20" t="s" s="10">
        <v>130</v>
      </c>
      <c r="I20" s="12"/>
      <c r="J20" s="12"/>
      <c r="K20" t="s" s="10">
        <v>54</v>
      </c>
      <c r="L20" t="s" s="10">
        <v>72</v>
      </c>
      <c r="M20" s="12"/>
      <c r="N20" t="s" s="10">
        <v>56</v>
      </c>
      <c r="O20" t="s" s="10">
        <v>57</v>
      </c>
      <c r="P20" s="13">
        <v>4100001396</v>
      </c>
      <c r="Q20" s="12"/>
      <c r="R20" t="s" s="10">
        <v>58</v>
      </c>
      <c r="S20" s="14">
        <v>1</v>
      </c>
      <c r="T20" t="s" s="10">
        <v>131</v>
      </c>
      <c r="U20" s="14">
        <v>12</v>
      </c>
      <c r="V20" t="s" s="10">
        <v>60</v>
      </c>
      <c r="W20" s="14">
        <v>0</v>
      </c>
      <c r="X20" s="14">
        <v>9750</v>
      </c>
      <c r="Y20" s="14">
        <v>9750</v>
      </c>
      <c r="Z20" s="14">
        <v>9750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9750</v>
      </c>
      <c r="AM20" s="14">
        <v>8783.780000000001</v>
      </c>
      <c r="AN20" s="14">
        <v>8783.780000000001</v>
      </c>
      <c r="AO20" s="14">
        <v>0</v>
      </c>
      <c r="AP20" s="14">
        <v>8783.780000000001</v>
      </c>
      <c r="AQ20" s="14">
        <v>0</v>
      </c>
      <c r="AR20" s="14">
        <v>8783.780000000001</v>
      </c>
      <c r="AS20" s="14">
        <v>966.22</v>
      </c>
      <c r="AT20" s="14">
        <v>9750</v>
      </c>
      <c r="AU20" t="s" s="10">
        <v>61</v>
      </c>
      <c r="AV20" t="s" s="10">
        <v>61</v>
      </c>
    </row>
    <row r="21" ht="13.65" customHeight="1">
      <c r="A21" t="s" s="9">
        <v>132</v>
      </c>
      <c r="B21" t="s" s="10">
        <v>49</v>
      </c>
      <c r="C21" s="11" cm="1">
        <f t="array" ref="C21">DATEVALUE("2025-05-05")</f>
        <v>45782</v>
      </c>
      <c r="D21" t="s" s="10">
        <v>127</v>
      </c>
      <c r="E21" t="s" s="10">
        <v>127</v>
      </c>
      <c r="F21" t="s" s="10">
        <v>128</v>
      </c>
      <c r="G21" t="s" s="10">
        <v>129</v>
      </c>
      <c r="H21" t="s" s="10">
        <v>130</v>
      </c>
      <c r="I21" s="12"/>
      <c r="J21" s="12"/>
      <c r="K21" t="s" s="10">
        <v>54</v>
      </c>
      <c r="L21" t="s" s="10">
        <v>72</v>
      </c>
      <c r="M21" s="12"/>
      <c r="N21" t="s" s="10">
        <v>56</v>
      </c>
      <c r="O21" t="s" s="10">
        <v>57</v>
      </c>
      <c r="P21" s="13">
        <v>4100001397</v>
      </c>
      <c r="Q21" s="12"/>
      <c r="R21" t="s" s="10">
        <v>58</v>
      </c>
      <c r="S21" s="14">
        <v>1</v>
      </c>
      <c r="T21" t="s" s="10">
        <v>131</v>
      </c>
      <c r="U21" s="14">
        <v>12</v>
      </c>
      <c r="V21" t="s" s="10">
        <v>60</v>
      </c>
      <c r="W21" s="14">
        <v>0</v>
      </c>
      <c r="X21" s="14">
        <v>9750</v>
      </c>
      <c r="Y21" s="14">
        <v>9750</v>
      </c>
      <c r="Z21" s="14">
        <v>9750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9750</v>
      </c>
      <c r="AM21" s="14">
        <v>8783.780000000001</v>
      </c>
      <c r="AN21" s="14">
        <v>8783.780000000001</v>
      </c>
      <c r="AO21" s="14">
        <v>0</v>
      </c>
      <c r="AP21" s="14">
        <v>8783.780000000001</v>
      </c>
      <c r="AQ21" s="14">
        <v>0</v>
      </c>
      <c r="AR21" s="14">
        <v>8783.780000000001</v>
      </c>
      <c r="AS21" s="14">
        <v>966.22</v>
      </c>
      <c r="AT21" s="14">
        <v>9750</v>
      </c>
      <c r="AU21" t="s" s="10">
        <v>61</v>
      </c>
      <c r="AV21" t="s" s="10">
        <v>61</v>
      </c>
    </row>
    <row r="22" ht="13.65" customHeight="1">
      <c r="A22" t="s" s="9">
        <v>133</v>
      </c>
      <c r="B22" t="s" s="10">
        <v>49</v>
      </c>
      <c r="C22" s="11" cm="1">
        <f t="array" ref="C22">DATEVALUE("2025-05-05")</f>
        <v>45782</v>
      </c>
      <c r="D22" t="s" s="10">
        <v>127</v>
      </c>
      <c r="E22" t="s" s="10">
        <v>127</v>
      </c>
      <c r="F22" t="s" s="10">
        <v>128</v>
      </c>
      <c r="G22" t="s" s="10">
        <v>129</v>
      </c>
      <c r="H22" t="s" s="10">
        <v>130</v>
      </c>
      <c r="I22" s="12"/>
      <c r="J22" s="12"/>
      <c r="K22" t="s" s="10">
        <v>54</v>
      </c>
      <c r="L22" t="s" s="10">
        <v>72</v>
      </c>
      <c r="M22" s="12"/>
      <c r="N22" t="s" s="10">
        <v>56</v>
      </c>
      <c r="O22" t="s" s="10">
        <v>57</v>
      </c>
      <c r="P22" s="13">
        <v>4100001224</v>
      </c>
      <c r="Q22" s="12"/>
      <c r="R22" t="s" s="10">
        <v>58</v>
      </c>
      <c r="S22" s="14">
        <v>3</v>
      </c>
      <c r="T22" t="s" s="10">
        <v>123</v>
      </c>
      <c r="U22" s="14">
        <v>30</v>
      </c>
      <c r="V22" t="s" s="10">
        <v>60</v>
      </c>
      <c r="W22" s="14">
        <v>0</v>
      </c>
      <c r="X22" s="14">
        <v>17000</v>
      </c>
      <c r="Y22" s="14">
        <v>17000</v>
      </c>
      <c r="Z22" s="14">
        <v>51000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51000</v>
      </c>
      <c r="AM22" s="14">
        <v>15315.32</v>
      </c>
      <c r="AN22" s="14">
        <v>45945.95</v>
      </c>
      <c r="AO22" s="14">
        <v>0</v>
      </c>
      <c r="AP22" s="14">
        <v>45945.95</v>
      </c>
      <c r="AQ22" s="14">
        <v>0</v>
      </c>
      <c r="AR22" s="14">
        <v>45945.95</v>
      </c>
      <c r="AS22" s="14">
        <v>5054.05</v>
      </c>
      <c r="AT22" s="14">
        <v>51000</v>
      </c>
      <c r="AU22" t="s" s="10">
        <v>61</v>
      </c>
      <c r="AV22" t="s" s="10">
        <v>61</v>
      </c>
    </row>
    <row r="23" ht="13.65" customHeight="1">
      <c r="A23" t="s" s="9">
        <v>134</v>
      </c>
      <c r="B23" t="s" s="10">
        <v>49</v>
      </c>
      <c r="C23" s="11" cm="1">
        <f t="array" ref="C23">DATEVALUE("2025-05-05")</f>
        <v>45782</v>
      </c>
      <c r="D23" t="s" s="10">
        <v>127</v>
      </c>
      <c r="E23" t="s" s="10">
        <v>127</v>
      </c>
      <c r="F23" t="s" s="10">
        <v>128</v>
      </c>
      <c r="G23" t="s" s="10">
        <v>129</v>
      </c>
      <c r="H23" t="s" s="10">
        <v>130</v>
      </c>
      <c r="I23" s="12"/>
      <c r="J23" s="12"/>
      <c r="K23" t="s" s="10">
        <v>54</v>
      </c>
      <c r="L23" t="s" s="10">
        <v>72</v>
      </c>
      <c r="M23" s="12"/>
      <c r="N23" t="s" s="10">
        <v>56</v>
      </c>
      <c r="O23" t="s" s="10">
        <v>57</v>
      </c>
      <c r="P23" s="13">
        <v>4100001187</v>
      </c>
      <c r="Q23" s="12"/>
      <c r="R23" t="s" s="10">
        <v>58</v>
      </c>
      <c r="S23" s="14">
        <v>3</v>
      </c>
      <c r="T23" t="s" s="10">
        <v>123</v>
      </c>
      <c r="U23" s="14">
        <v>30</v>
      </c>
      <c r="V23" t="s" s="10">
        <v>60</v>
      </c>
      <c r="W23" s="14">
        <v>0</v>
      </c>
      <c r="X23" s="14">
        <v>17000</v>
      </c>
      <c r="Y23" s="14">
        <v>17000</v>
      </c>
      <c r="Z23" s="14">
        <v>51000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51000</v>
      </c>
      <c r="AM23" s="14">
        <v>15315.32</v>
      </c>
      <c r="AN23" s="14">
        <v>45945.95</v>
      </c>
      <c r="AO23" s="14">
        <v>0</v>
      </c>
      <c r="AP23" s="14">
        <v>45945.95</v>
      </c>
      <c r="AQ23" s="14">
        <v>0</v>
      </c>
      <c r="AR23" s="14">
        <v>45945.95</v>
      </c>
      <c r="AS23" s="14">
        <v>5054.05</v>
      </c>
      <c r="AT23" s="14">
        <v>51000</v>
      </c>
      <c r="AU23" t="s" s="10">
        <v>61</v>
      </c>
      <c r="AV23" t="s" s="10">
        <v>61</v>
      </c>
    </row>
    <row r="24" ht="13.65" customHeight="1">
      <c r="A24" t="s" s="9">
        <v>135</v>
      </c>
      <c r="B24" t="s" s="10">
        <v>49</v>
      </c>
      <c r="C24" s="11" cm="1">
        <f t="array" ref="C24">DATEVALUE("2025-05-05")</f>
        <v>45782</v>
      </c>
      <c r="D24" t="s" s="10">
        <v>127</v>
      </c>
      <c r="E24" t="s" s="10">
        <v>127</v>
      </c>
      <c r="F24" t="s" s="10">
        <v>128</v>
      </c>
      <c r="G24" t="s" s="10">
        <v>129</v>
      </c>
      <c r="H24" t="s" s="10">
        <v>130</v>
      </c>
      <c r="I24" s="12"/>
      <c r="J24" s="12"/>
      <c r="K24" t="s" s="10">
        <v>54</v>
      </c>
      <c r="L24" t="s" s="10">
        <v>72</v>
      </c>
      <c r="M24" s="12"/>
      <c r="N24" t="s" s="10">
        <v>56</v>
      </c>
      <c r="O24" t="s" s="10">
        <v>57</v>
      </c>
      <c r="P24" s="13">
        <v>4100001295</v>
      </c>
      <c r="Q24" s="12"/>
      <c r="R24" t="s" s="10">
        <v>58</v>
      </c>
      <c r="S24" s="14">
        <v>3</v>
      </c>
      <c r="T24" t="s" s="10">
        <v>123</v>
      </c>
      <c r="U24" s="14">
        <v>30</v>
      </c>
      <c r="V24" t="s" s="10">
        <v>60</v>
      </c>
      <c r="W24" s="14">
        <v>0</v>
      </c>
      <c r="X24" s="14">
        <v>16400</v>
      </c>
      <c r="Y24" s="14">
        <v>16400</v>
      </c>
      <c r="Z24" s="14">
        <v>49200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49200</v>
      </c>
      <c r="AM24" s="14">
        <v>14774.77</v>
      </c>
      <c r="AN24" s="14">
        <v>44324.32</v>
      </c>
      <c r="AO24" s="14">
        <v>0</v>
      </c>
      <c r="AP24" s="14">
        <v>44324.32</v>
      </c>
      <c r="AQ24" s="14">
        <v>0</v>
      </c>
      <c r="AR24" s="14">
        <v>44324.32</v>
      </c>
      <c r="AS24" s="14">
        <v>4875.67</v>
      </c>
      <c r="AT24" s="14">
        <v>49199.99</v>
      </c>
      <c r="AU24" t="s" s="10">
        <v>61</v>
      </c>
      <c r="AV24" t="s" s="10">
        <v>61</v>
      </c>
    </row>
    <row r="25" ht="13.65" customHeight="1">
      <c r="A25" t="s" s="9">
        <v>136</v>
      </c>
      <c r="B25" t="s" s="10">
        <v>49</v>
      </c>
      <c r="C25" s="11" cm="1">
        <f t="array" ref="C25">DATEVALUE("2025-05-05")</f>
        <v>45782</v>
      </c>
      <c r="D25" t="s" s="10">
        <v>127</v>
      </c>
      <c r="E25" t="s" s="10">
        <v>127</v>
      </c>
      <c r="F25" t="s" s="10">
        <v>128</v>
      </c>
      <c r="G25" t="s" s="10">
        <v>129</v>
      </c>
      <c r="H25" t="s" s="10">
        <v>130</v>
      </c>
      <c r="I25" s="12"/>
      <c r="J25" s="12"/>
      <c r="K25" t="s" s="10">
        <v>54</v>
      </c>
      <c r="L25" t="s" s="10">
        <v>72</v>
      </c>
      <c r="M25" s="12"/>
      <c r="N25" t="s" s="10">
        <v>56</v>
      </c>
      <c r="O25" t="s" s="10">
        <v>57</v>
      </c>
      <c r="P25" s="13">
        <v>41000001258</v>
      </c>
      <c r="Q25" s="12"/>
      <c r="R25" t="s" s="10">
        <v>58</v>
      </c>
      <c r="S25" s="14">
        <v>3</v>
      </c>
      <c r="T25" t="s" s="10">
        <v>131</v>
      </c>
      <c r="U25" s="14">
        <v>30</v>
      </c>
      <c r="V25" t="s" s="10">
        <v>60</v>
      </c>
      <c r="W25" s="14">
        <v>0</v>
      </c>
      <c r="X25" s="14">
        <v>20320</v>
      </c>
      <c r="Y25" s="14">
        <v>20320</v>
      </c>
      <c r="Z25" s="14">
        <v>60960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60960</v>
      </c>
      <c r="AM25" s="14">
        <v>18306.31</v>
      </c>
      <c r="AN25" s="14">
        <v>54918.92</v>
      </c>
      <c r="AO25" s="14">
        <v>0</v>
      </c>
      <c r="AP25" s="14">
        <v>54918.92</v>
      </c>
      <c r="AQ25" s="14">
        <v>0</v>
      </c>
      <c r="AR25" s="14">
        <v>54918.92</v>
      </c>
      <c r="AS25" s="14">
        <v>6041.08</v>
      </c>
      <c r="AT25" s="14">
        <v>60960</v>
      </c>
      <c r="AU25" t="s" s="10">
        <v>61</v>
      </c>
      <c r="AV25" t="s" s="10">
        <v>61</v>
      </c>
    </row>
    <row r="26" ht="13.65" customHeight="1">
      <c r="A26" t="s" s="9">
        <v>137</v>
      </c>
      <c r="B26" t="s" s="10">
        <v>49</v>
      </c>
      <c r="C26" s="11" cm="1">
        <f t="array" ref="C26">DATEVALUE("2025-05-05")</f>
        <v>45782</v>
      </c>
      <c r="D26" t="s" s="10">
        <v>127</v>
      </c>
      <c r="E26" t="s" s="10">
        <v>127</v>
      </c>
      <c r="F26" t="s" s="10">
        <v>128</v>
      </c>
      <c r="G26" t="s" s="10">
        <v>129</v>
      </c>
      <c r="H26" t="s" s="10">
        <v>130</v>
      </c>
      <c r="I26" s="12"/>
      <c r="J26" s="12"/>
      <c r="K26" t="s" s="10">
        <v>54</v>
      </c>
      <c r="L26" t="s" s="10">
        <v>72</v>
      </c>
      <c r="M26" s="12"/>
      <c r="N26" t="s" s="10">
        <v>56</v>
      </c>
      <c r="O26" t="s" s="10">
        <v>57</v>
      </c>
      <c r="P26" s="13">
        <v>4100000852</v>
      </c>
      <c r="Q26" s="12"/>
      <c r="R26" t="s" s="10">
        <v>58</v>
      </c>
      <c r="S26" s="14">
        <v>2</v>
      </c>
      <c r="T26" t="s" s="10">
        <v>131</v>
      </c>
      <c r="U26" s="14">
        <v>24</v>
      </c>
      <c r="V26" t="s" s="10">
        <v>60</v>
      </c>
      <c r="W26" s="14">
        <v>0</v>
      </c>
      <c r="X26" s="14">
        <v>10725.6</v>
      </c>
      <c r="Y26" s="14">
        <v>10725.6</v>
      </c>
      <c r="Z26" s="14">
        <v>21451.2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21451.2</v>
      </c>
      <c r="AM26" s="14">
        <v>9662.700000000001</v>
      </c>
      <c r="AN26" s="14">
        <v>19325.41</v>
      </c>
      <c r="AO26" s="14">
        <v>0</v>
      </c>
      <c r="AP26" s="14">
        <v>19325.41</v>
      </c>
      <c r="AQ26" s="14">
        <v>0</v>
      </c>
      <c r="AR26" s="14">
        <v>19325.41</v>
      </c>
      <c r="AS26" s="14">
        <v>2125.8</v>
      </c>
      <c r="AT26" s="14">
        <v>21451.21</v>
      </c>
      <c r="AU26" t="s" s="10">
        <v>61</v>
      </c>
      <c r="AV26" t="s" s="10">
        <v>61</v>
      </c>
    </row>
    <row r="27" ht="13.65" customHeight="1">
      <c r="A27" t="s" s="9">
        <v>138</v>
      </c>
      <c r="B27" t="s" s="10">
        <v>49</v>
      </c>
      <c r="C27" s="11" cm="1">
        <f t="array" ref="C27">DATEVALUE("2025-05-05")</f>
        <v>45782</v>
      </c>
      <c r="D27" t="s" s="10">
        <v>139</v>
      </c>
      <c r="E27" t="s" s="10">
        <v>139</v>
      </c>
      <c r="F27" t="s" s="10">
        <v>140</v>
      </c>
      <c r="G27" t="s" s="10">
        <v>141</v>
      </c>
      <c r="H27" t="s" s="10">
        <v>142</v>
      </c>
      <c r="I27" s="12"/>
      <c r="J27" s="12"/>
      <c r="K27" t="s" s="10">
        <v>54</v>
      </c>
      <c r="L27" t="s" s="10">
        <v>72</v>
      </c>
      <c r="M27" s="12"/>
      <c r="N27" t="s" s="10">
        <v>56</v>
      </c>
      <c r="O27" t="s" s="10">
        <v>57</v>
      </c>
      <c r="P27" t="s" s="10">
        <v>143</v>
      </c>
      <c r="Q27" s="12"/>
      <c r="R27" t="s" s="10">
        <v>58</v>
      </c>
      <c r="S27" s="14">
        <v>12</v>
      </c>
      <c r="T27" t="s" s="10">
        <v>60</v>
      </c>
      <c r="U27" s="14">
        <v>12</v>
      </c>
      <c r="V27" t="s" s="10">
        <v>60</v>
      </c>
      <c r="W27" s="14">
        <v>0</v>
      </c>
      <c r="X27" s="14">
        <v>5750</v>
      </c>
      <c r="Y27" s="14">
        <v>5750</v>
      </c>
      <c r="Z27" s="14">
        <v>69000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69000</v>
      </c>
      <c r="AM27" s="14">
        <v>5180.18</v>
      </c>
      <c r="AN27" s="14">
        <v>62162.16</v>
      </c>
      <c r="AO27" s="14">
        <v>0</v>
      </c>
      <c r="AP27" s="14">
        <v>62162.16</v>
      </c>
      <c r="AQ27" s="14">
        <v>0</v>
      </c>
      <c r="AR27" s="14">
        <v>62162.16</v>
      </c>
      <c r="AS27" s="14">
        <v>6837.84</v>
      </c>
      <c r="AT27" s="14">
        <v>69000</v>
      </c>
      <c r="AU27" t="s" s="10">
        <v>61</v>
      </c>
      <c r="AV27" t="s" s="10">
        <v>61</v>
      </c>
    </row>
    <row r="28" ht="13.65" customHeight="1">
      <c r="A28" t="s" s="9">
        <v>144</v>
      </c>
      <c r="B28" t="s" s="10">
        <v>49</v>
      </c>
      <c r="C28" s="11" cm="1">
        <f t="array" ref="C28">DATEVALUE("2025-05-05")</f>
        <v>45782</v>
      </c>
      <c r="D28" t="s" s="10">
        <v>139</v>
      </c>
      <c r="E28" t="s" s="10">
        <v>139</v>
      </c>
      <c r="F28" t="s" s="10">
        <v>140</v>
      </c>
      <c r="G28" t="s" s="10">
        <v>141</v>
      </c>
      <c r="H28" t="s" s="10">
        <v>142</v>
      </c>
      <c r="I28" s="12"/>
      <c r="J28" s="12"/>
      <c r="K28" t="s" s="10">
        <v>54</v>
      </c>
      <c r="L28" t="s" s="10">
        <v>72</v>
      </c>
      <c r="M28" s="12"/>
      <c r="N28" t="s" s="10">
        <v>56</v>
      </c>
      <c r="O28" t="s" s="10">
        <v>57</v>
      </c>
      <c r="P28" t="s" s="10">
        <v>102</v>
      </c>
      <c r="Q28" s="12"/>
      <c r="R28" t="s" s="10">
        <v>58</v>
      </c>
      <c r="S28" s="14">
        <v>12</v>
      </c>
      <c r="T28" t="s" s="10">
        <v>60</v>
      </c>
      <c r="U28" s="14">
        <v>12</v>
      </c>
      <c r="V28" t="s" s="10">
        <v>60</v>
      </c>
      <c r="W28" s="14">
        <v>0</v>
      </c>
      <c r="X28" s="14">
        <v>5750</v>
      </c>
      <c r="Y28" s="14">
        <v>5750</v>
      </c>
      <c r="Z28" s="14">
        <v>69000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69000</v>
      </c>
      <c r="AM28" s="14">
        <v>5180.18</v>
      </c>
      <c r="AN28" s="14">
        <v>62162.16</v>
      </c>
      <c r="AO28" s="14">
        <v>0</v>
      </c>
      <c r="AP28" s="14">
        <v>62162.16</v>
      </c>
      <c r="AQ28" s="14">
        <v>0</v>
      </c>
      <c r="AR28" s="14">
        <v>62162.16</v>
      </c>
      <c r="AS28" s="14">
        <v>6837.84</v>
      </c>
      <c r="AT28" s="14">
        <v>69000</v>
      </c>
      <c r="AU28" t="s" s="10">
        <v>61</v>
      </c>
      <c r="AV28" t="s" s="10">
        <v>61</v>
      </c>
    </row>
    <row r="29" ht="13.65" customHeight="1">
      <c r="A29" t="s" s="9">
        <v>145</v>
      </c>
      <c r="B29" t="s" s="10">
        <v>49</v>
      </c>
      <c r="C29" s="11" cm="1">
        <f t="array" ref="C29">DATEVALUE("2025-05-05")</f>
        <v>45782</v>
      </c>
      <c r="D29" t="s" s="10">
        <v>139</v>
      </c>
      <c r="E29" t="s" s="10">
        <v>139</v>
      </c>
      <c r="F29" t="s" s="10">
        <v>140</v>
      </c>
      <c r="G29" t="s" s="10">
        <v>141</v>
      </c>
      <c r="H29" t="s" s="10">
        <v>142</v>
      </c>
      <c r="I29" s="12"/>
      <c r="J29" s="12"/>
      <c r="K29" t="s" s="10">
        <v>54</v>
      </c>
      <c r="L29" t="s" s="10">
        <v>72</v>
      </c>
      <c r="M29" s="12"/>
      <c r="N29" t="s" s="10">
        <v>56</v>
      </c>
      <c r="O29" t="s" s="10">
        <v>57</v>
      </c>
      <c r="P29" t="s" s="10">
        <v>146</v>
      </c>
      <c r="Q29" s="12"/>
      <c r="R29" t="s" s="10">
        <v>58</v>
      </c>
      <c r="S29" s="14">
        <v>12</v>
      </c>
      <c r="T29" t="s" s="10">
        <v>60</v>
      </c>
      <c r="U29" s="14">
        <v>12</v>
      </c>
      <c r="V29" t="s" s="10">
        <v>60</v>
      </c>
      <c r="W29" s="14">
        <v>0</v>
      </c>
      <c r="X29" s="14">
        <v>5750</v>
      </c>
      <c r="Y29" s="14">
        <v>5750</v>
      </c>
      <c r="Z29" s="14">
        <v>69000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69000</v>
      </c>
      <c r="AM29" s="14">
        <v>5180.18</v>
      </c>
      <c r="AN29" s="14">
        <v>62162.16</v>
      </c>
      <c r="AO29" s="14">
        <v>0</v>
      </c>
      <c r="AP29" s="14">
        <v>62162.16</v>
      </c>
      <c r="AQ29" s="14">
        <v>0</v>
      </c>
      <c r="AR29" s="14">
        <v>62162.16</v>
      </c>
      <c r="AS29" s="14">
        <v>6837.84</v>
      </c>
      <c r="AT29" s="14">
        <v>69000</v>
      </c>
      <c r="AU29" t="s" s="10">
        <v>61</v>
      </c>
      <c r="AV29" t="s" s="10">
        <v>61</v>
      </c>
    </row>
    <row r="30" ht="13.65" customHeight="1">
      <c r="A30" t="s" s="9">
        <v>147</v>
      </c>
      <c r="B30" t="s" s="10">
        <v>49</v>
      </c>
      <c r="C30" s="11" cm="1">
        <f t="array" ref="C30">DATEVALUE("2025-05-05")</f>
        <v>45782</v>
      </c>
      <c r="D30" t="s" s="10">
        <v>148</v>
      </c>
      <c r="E30" t="s" s="10">
        <v>148</v>
      </c>
      <c r="F30" t="s" s="10">
        <v>149</v>
      </c>
      <c r="G30" t="s" s="10">
        <v>150</v>
      </c>
      <c r="H30" t="s" s="10">
        <v>151</v>
      </c>
      <c r="I30" s="12"/>
      <c r="J30" s="12"/>
      <c r="K30" t="s" s="10">
        <v>54</v>
      </c>
      <c r="L30" t="s" s="10">
        <v>72</v>
      </c>
      <c r="M30" s="12"/>
      <c r="N30" t="s" s="10">
        <v>56</v>
      </c>
      <c r="O30" t="s" s="10">
        <v>57</v>
      </c>
      <c r="P30" s="13">
        <v>4100000073</v>
      </c>
      <c r="Q30" s="12"/>
      <c r="R30" t="s" s="10">
        <v>58</v>
      </c>
      <c r="S30" s="14">
        <v>6</v>
      </c>
      <c r="T30" t="s" s="10">
        <v>152</v>
      </c>
      <c r="U30" s="14">
        <v>6</v>
      </c>
      <c r="V30" t="s" s="10">
        <v>152</v>
      </c>
      <c r="W30" s="14">
        <v>0</v>
      </c>
      <c r="X30" s="14">
        <v>8700</v>
      </c>
      <c r="Y30" s="14">
        <v>8700</v>
      </c>
      <c r="Z30" s="14">
        <v>52200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52200</v>
      </c>
      <c r="AM30" s="14">
        <v>7837.84</v>
      </c>
      <c r="AN30" s="14">
        <v>47027.03</v>
      </c>
      <c r="AO30" s="14">
        <v>0</v>
      </c>
      <c r="AP30" s="14">
        <v>47027.03</v>
      </c>
      <c r="AQ30" s="14">
        <v>0</v>
      </c>
      <c r="AR30" s="14">
        <v>47027.03</v>
      </c>
      <c r="AS30" s="14">
        <v>5172.97</v>
      </c>
      <c r="AT30" s="14">
        <v>52200</v>
      </c>
      <c r="AU30" t="s" s="10">
        <v>61</v>
      </c>
      <c r="AV30" t="s" s="10">
        <v>61</v>
      </c>
    </row>
    <row r="31" ht="13.65" customHeight="1">
      <c r="A31" t="s" s="9">
        <v>153</v>
      </c>
      <c r="B31" t="s" s="10">
        <v>49</v>
      </c>
      <c r="C31" s="11" cm="1">
        <f t="array" ref="C31">DATEVALUE("2025-05-05")</f>
        <v>45782</v>
      </c>
      <c r="D31" t="s" s="10">
        <v>148</v>
      </c>
      <c r="E31" t="s" s="10">
        <v>148</v>
      </c>
      <c r="F31" t="s" s="10">
        <v>149</v>
      </c>
      <c r="G31" t="s" s="10">
        <v>150</v>
      </c>
      <c r="H31" t="s" s="10">
        <v>151</v>
      </c>
      <c r="I31" s="12"/>
      <c r="J31" s="12"/>
      <c r="K31" t="s" s="10">
        <v>54</v>
      </c>
      <c r="L31" t="s" s="10">
        <v>72</v>
      </c>
      <c r="M31" s="12"/>
      <c r="N31" t="s" s="10">
        <v>56</v>
      </c>
      <c r="O31" t="s" s="10">
        <v>57</v>
      </c>
      <c r="P31" s="13">
        <v>4100000047</v>
      </c>
      <c r="Q31" s="12"/>
      <c r="R31" t="s" s="10">
        <v>58</v>
      </c>
      <c r="S31" s="14">
        <v>6</v>
      </c>
      <c r="T31" t="s" s="10">
        <v>152</v>
      </c>
      <c r="U31" s="14">
        <v>6</v>
      </c>
      <c r="V31" t="s" s="10">
        <v>152</v>
      </c>
      <c r="W31" s="14">
        <v>0</v>
      </c>
      <c r="X31" s="14">
        <v>12000</v>
      </c>
      <c r="Y31" s="14">
        <v>12000</v>
      </c>
      <c r="Z31" s="14">
        <v>72000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72000</v>
      </c>
      <c r="AM31" s="14">
        <v>10810.81</v>
      </c>
      <c r="AN31" s="14">
        <v>64864.86</v>
      </c>
      <c r="AO31" s="14">
        <v>0</v>
      </c>
      <c r="AP31" s="14">
        <v>64864.86</v>
      </c>
      <c r="AQ31" s="14">
        <v>0</v>
      </c>
      <c r="AR31" s="14">
        <v>64864.86</v>
      </c>
      <c r="AS31" s="14">
        <v>7135.13</v>
      </c>
      <c r="AT31" s="14">
        <v>71999.990000000005</v>
      </c>
      <c r="AU31" t="s" s="10">
        <v>61</v>
      </c>
      <c r="AV31" t="s" s="10">
        <v>61</v>
      </c>
    </row>
    <row r="32" ht="13.65" customHeight="1">
      <c r="A32" t="s" s="9">
        <v>154</v>
      </c>
      <c r="B32" t="s" s="10">
        <v>49</v>
      </c>
      <c r="C32" s="11" cm="1">
        <f t="array" ref="C32">DATEVALUE("2025-05-05")</f>
        <v>45782</v>
      </c>
      <c r="D32" t="s" s="10">
        <v>148</v>
      </c>
      <c r="E32" t="s" s="10">
        <v>148</v>
      </c>
      <c r="F32" t="s" s="10">
        <v>149</v>
      </c>
      <c r="G32" t="s" s="10">
        <v>150</v>
      </c>
      <c r="H32" t="s" s="10">
        <v>151</v>
      </c>
      <c r="I32" s="12"/>
      <c r="J32" s="12"/>
      <c r="K32" t="s" s="10">
        <v>54</v>
      </c>
      <c r="L32" t="s" s="10">
        <v>72</v>
      </c>
      <c r="M32" s="12"/>
      <c r="N32" t="s" s="10">
        <v>56</v>
      </c>
      <c r="O32" t="s" s="10">
        <v>57</v>
      </c>
      <c r="P32" s="13">
        <v>4100000967</v>
      </c>
      <c r="Q32" s="12"/>
      <c r="R32" t="s" s="10">
        <v>58</v>
      </c>
      <c r="S32" s="14">
        <v>6</v>
      </c>
      <c r="T32" t="s" s="10">
        <v>60</v>
      </c>
      <c r="U32" s="14">
        <v>6</v>
      </c>
      <c r="V32" t="s" s="10">
        <v>60</v>
      </c>
      <c r="W32" s="14">
        <v>0</v>
      </c>
      <c r="X32" s="14">
        <v>13622.73</v>
      </c>
      <c r="Y32" s="14">
        <v>13622.73</v>
      </c>
      <c r="Z32" s="14">
        <v>81736.38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81736.38</v>
      </c>
      <c r="AM32" s="14">
        <v>12272.73</v>
      </c>
      <c r="AN32" s="14">
        <v>73636.38</v>
      </c>
      <c r="AO32" s="14">
        <v>0</v>
      </c>
      <c r="AP32" s="14">
        <v>73636.38</v>
      </c>
      <c r="AQ32" s="14">
        <v>0</v>
      </c>
      <c r="AR32" s="14">
        <v>73636.38</v>
      </c>
      <c r="AS32" s="14">
        <v>8100.01</v>
      </c>
      <c r="AT32" s="14">
        <v>81736.39</v>
      </c>
      <c r="AU32" t="s" s="10">
        <v>61</v>
      </c>
      <c r="AV32" t="s" s="10">
        <v>61</v>
      </c>
    </row>
    <row r="33" ht="13.65" customHeight="1">
      <c r="A33" t="s" s="9">
        <v>155</v>
      </c>
      <c r="B33" t="s" s="10">
        <v>49</v>
      </c>
      <c r="C33" s="11" cm="1">
        <f t="array" ref="C33">DATEVALUE("2025-05-05")</f>
        <v>45782</v>
      </c>
      <c r="D33" t="s" s="10">
        <v>156</v>
      </c>
      <c r="E33" t="s" s="10">
        <v>156</v>
      </c>
      <c r="F33" t="s" s="10">
        <v>157</v>
      </c>
      <c r="G33" t="s" s="10">
        <v>158</v>
      </c>
      <c r="H33" t="s" s="10">
        <v>159</v>
      </c>
      <c r="I33" s="12"/>
      <c r="J33" s="12"/>
      <c r="K33" t="s" s="10">
        <v>160</v>
      </c>
      <c r="L33" t="s" s="10">
        <v>72</v>
      </c>
      <c r="M33" s="12"/>
      <c r="N33" t="s" s="10">
        <v>56</v>
      </c>
      <c r="O33" t="s" s="10">
        <v>57</v>
      </c>
      <c r="P33" t="s" s="10">
        <v>73</v>
      </c>
      <c r="Q33" s="12"/>
      <c r="R33" t="s" s="10">
        <v>58</v>
      </c>
      <c r="S33" s="14">
        <v>6</v>
      </c>
      <c r="T33" t="s" s="10">
        <v>65</v>
      </c>
      <c r="U33" s="14">
        <v>360</v>
      </c>
      <c r="V33" t="s" s="10">
        <v>60</v>
      </c>
      <c r="W33" s="14">
        <v>0</v>
      </c>
      <c r="X33" s="14">
        <v>102300</v>
      </c>
      <c r="Y33" s="14">
        <v>102300</v>
      </c>
      <c r="Z33" s="14">
        <v>613800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613800</v>
      </c>
      <c r="AM33" s="14">
        <v>92162.16</v>
      </c>
      <c r="AN33" s="14">
        <v>552972.97</v>
      </c>
      <c r="AO33" s="14">
        <v>0</v>
      </c>
      <c r="AP33" s="14">
        <v>552972.97</v>
      </c>
      <c r="AQ33" s="14">
        <v>0</v>
      </c>
      <c r="AR33" s="14">
        <v>552972.97</v>
      </c>
      <c r="AS33" s="14">
        <v>60827.03</v>
      </c>
      <c r="AT33" s="14">
        <v>613800</v>
      </c>
      <c r="AU33" t="s" s="10">
        <v>61</v>
      </c>
      <c r="AV33" t="s" s="10">
        <v>61</v>
      </c>
    </row>
    <row r="34" ht="13.65" customHeight="1">
      <c r="A34" t="s" s="9">
        <v>161</v>
      </c>
      <c r="B34" t="s" s="10">
        <v>49</v>
      </c>
      <c r="C34" s="11" cm="1">
        <f t="array" ref="C34">DATEVALUE("2025-05-05")</f>
        <v>45782</v>
      </c>
      <c r="D34" t="s" s="10">
        <v>162</v>
      </c>
      <c r="E34" t="s" s="10">
        <v>162</v>
      </c>
      <c r="F34" t="s" s="10">
        <v>163</v>
      </c>
      <c r="G34" t="s" s="10">
        <v>164</v>
      </c>
      <c r="H34" t="s" s="10">
        <v>165</v>
      </c>
      <c r="I34" s="12"/>
      <c r="J34" s="12"/>
      <c r="K34" t="s" s="10">
        <v>54</v>
      </c>
      <c r="L34" t="s" s="10">
        <v>72</v>
      </c>
      <c r="M34" s="12"/>
      <c r="N34" t="s" s="10">
        <v>56</v>
      </c>
      <c r="O34" t="s" s="10">
        <v>57</v>
      </c>
      <c r="P34" t="s" s="10">
        <v>125</v>
      </c>
      <c r="Q34" s="12"/>
      <c r="R34" t="s" s="10">
        <v>58</v>
      </c>
      <c r="S34" s="14">
        <v>8</v>
      </c>
      <c r="T34" t="s" s="10">
        <v>123</v>
      </c>
      <c r="U34" s="14">
        <v>96</v>
      </c>
      <c r="V34" t="s" s="10">
        <v>60</v>
      </c>
      <c r="W34" s="14">
        <v>0</v>
      </c>
      <c r="X34" s="14">
        <v>10725.6</v>
      </c>
      <c r="Y34" s="14">
        <v>10725.6</v>
      </c>
      <c r="Z34" s="14">
        <v>85804.8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85804.8</v>
      </c>
      <c r="AM34" s="14">
        <v>9662.700000000001</v>
      </c>
      <c r="AN34" s="14">
        <v>77301.62</v>
      </c>
      <c r="AO34" s="14">
        <v>0</v>
      </c>
      <c r="AP34" s="14">
        <v>77301.62</v>
      </c>
      <c r="AQ34" s="14">
        <v>0</v>
      </c>
      <c r="AR34" s="14">
        <v>77301.62</v>
      </c>
      <c r="AS34" s="14">
        <v>8503.18</v>
      </c>
      <c r="AT34" s="14">
        <v>85804.8</v>
      </c>
      <c r="AU34" t="s" s="10">
        <v>61</v>
      </c>
      <c r="AV34" t="s" s="10">
        <v>61</v>
      </c>
    </row>
    <row r="35" ht="13.65" customHeight="1">
      <c r="A35" t="s" s="9">
        <v>166</v>
      </c>
      <c r="B35" t="s" s="10">
        <v>49</v>
      </c>
      <c r="C35" s="11" cm="1">
        <f t="array" ref="C35">DATEVALUE("2025-05-06")</f>
        <v>45783</v>
      </c>
      <c r="D35" t="s" s="10">
        <v>167</v>
      </c>
      <c r="E35" t="s" s="10">
        <v>167</v>
      </c>
      <c r="F35" t="s" s="10">
        <v>168</v>
      </c>
      <c r="G35" t="s" s="10">
        <v>169</v>
      </c>
      <c r="H35" t="s" s="10">
        <v>170</v>
      </c>
      <c r="I35" s="12"/>
      <c r="J35" s="12"/>
      <c r="K35" t="s" s="10">
        <v>54</v>
      </c>
      <c r="L35" t="s" s="10">
        <v>55</v>
      </c>
      <c r="M35" s="12"/>
      <c r="N35" t="s" s="10">
        <v>56</v>
      </c>
      <c r="O35" t="s" s="10">
        <v>57</v>
      </c>
      <c r="P35" s="13">
        <v>4100000002</v>
      </c>
      <c r="Q35" s="12"/>
      <c r="R35" t="s" s="10">
        <v>58</v>
      </c>
      <c r="S35" s="14">
        <v>12</v>
      </c>
      <c r="T35" t="s" s="10">
        <v>60</v>
      </c>
      <c r="U35" s="14">
        <v>12</v>
      </c>
      <c r="V35" t="s" s="10">
        <v>60</v>
      </c>
      <c r="W35" s="14">
        <v>0</v>
      </c>
      <c r="X35" s="14">
        <v>8547</v>
      </c>
      <c r="Y35" s="14">
        <v>8547</v>
      </c>
      <c r="Z35" s="14">
        <v>102564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102564</v>
      </c>
      <c r="AM35" s="14">
        <v>7700</v>
      </c>
      <c r="AN35" s="14">
        <v>92400</v>
      </c>
      <c r="AO35" s="14">
        <v>0</v>
      </c>
      <c r="AP35" s="14">
        <v>92400</v>
      </c>
      <c r="AQ35" s="14">
        <v>0</v>
      </c>
      <c r="AR35" s="14">
        <v>92400</v>
      </c>
      <c r="AS35" s="14">
        <v>10164</v>
      </c>
      <c r="AT35" s="14">
        <v>102564</v>
      </c>
      <c r="AU35" t="s" s="10">
        <v>61</v>
      </c>
      <c r="AV35" t="s" s="10">
        <v>61</v>
      </c>
    </row>
    <row r="36" ht="13.65" customHeight="1">
      <c r="A36" t="s" s="9">
        <v>171</v>
      </c>
      <c r="B36" t="s" s="10">
        <v>49</v>
      </c>
      <c r="C36" s="11" cm="1">
        <f t="array" ref="C36">DATEVALUE("2025-05-06")</f>
        <v>45783</v>
      </c>
      <c r="D36" t="s" s="10">
        <v>167</v>
      </c>
      <c r="E36" t="s" s="10">
        <v>167</v>
      </c>
      <c r="F36" t="s" s="10">
        <v>168</v>
      </c>
      <c r="G36" t="s" s="10">
        <v>169</v>
      </c>
      <c r="H36" t="s" s="10">
        <v>170</v>
      </c>
      <c r="I36" s="12"/>
      <c r="J36" s="12"/>
      <c r="K36" t="s" s="10">
        <v>54</v>
      </c>
      <c r="L36" t="s" s="10">
        <v>55</v>
      </c>
      <c r="M36" s="12"/>
      <c r="N36" t="s" s="10">
        <v>56</v>
      </c>
      <c r="O36" t="s" s="10">
        <v>57</v>
      </c>
      <c r="P36" s="13">
        <v>4100001291</v>
      </c>
      <c r="Q36" s="12"/>
      <c r="R36" t="s" s="10">
        <v>58</v>
      </c>
      <c r="S36" s="14">
        <v>1</v>
      </c>
      <c r="T36" t="s" s="10">
        <v>65</v>
      </c>
      <c r="U36" s="14">
        <v>24</v>
      </c>
      <c r="V36" t="s" s="10">
        <v>60</v>
      </c>
      <c r="W36" s="14">
        <v>0</v>
      </c>
      <c r="X36" s="14">
        <v>112907.04</v>
      </c>
      <c r="Y36" s="14">
        <v>112907.04</v>
      </c>
      <c r="Z36" s="14">
        <v>112907.04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112907.04</v>
      </c>
      <c r="AM36" s="14">
        <v>101718.05</v>
      </c>
      <c r="AN36" s="14">
        <v>101718.05</v>
      </c>
      <c r="AO36" s="14">
        <v>0</v>
      </c>
      <c r="AP36" s="14">
        <v>101718.05</v>
      </c>
      <c r="AQ36" s="14">
        <v>0</v>
      </c>
      <c r="AR36" s="14">
        <v>101718.05</v>
      </c>
      <c r="AS36" s="14">
        <v>11188.99</v>
      </c>
      <c r="AT36" s="14">
        <v>112907.04</v>
      </c>
      <c r="AU36" t="s" s="10">
        <v>61</v>
      </c>
      <c r="AV36" t="s" s="10">
        <v>61</v>
      </c>
    </row>
    <row r="37" ht="13.65" customHeight="1">
      <c r="A37" t="s" s="9">
        <v>172</v>
      </c>
      <c r="B37" t="s" s="10">
        <v>49</v>
      </c>
      <c r="C37" s="11" cm="1">
        <f t="array" ref="C37">DATEVALUE("2025-05-06")</f>
        <v>45783</v>
      </c>
      <c r="D37" t="s" s="10">
        <v>167</v>
      </c>
      <c r="E37" t="s" s="10">
        <v>167</v>
      </c>
      <c r="F37" t="s" s="10">
        <v>168</v>
      </c>
      <c r="G37" t="s" s="10">
        <v>169</v>
      </c>
      <c r="H37" t="s" s="10">
        <v>170</v>
      </c>
      <c r="I37" s="12"/>
      <c r="J37" s="12"/>
      <c r="K37" t="s" s="10">
        <v>54</v>
      </c>
      <c r="L37" t="s" s="10">
        <v>55</v>
      </c>
      <c r="M37" s="12"/>
      <c r="N37" t="s" s="10">
        <v>56</v>
      </c>
      <c r="O37" t="s" s="10">
        <v>57</v>
      </c>
      <c r="P37" s="13">
        <v>4100000982</v>
      </c>
      <c r="Q37" s="12"/>
      <c r="R37" t="s" s="10">
        <v>58</v>
      </c>
      <c r="S37" s="14">
        <v>12</v>
      </c>
      <c r="T37" t="s" s="10">
        <v>152</v>
      </c>
      <c r="U37" s="14">
        <v>12</v>
      </c>
      <c r="V37" t="s" s="10">
        <v>152</v>
      </c>
      <c r="W37" s="14">
        <v>0</v>
      </c>
      <c r="X37" s="14">
        <v>10800</v>
      </c>
      <c r="Y37" s="14">
        <v>10800</v>
      </c>
      <c r="Z37" s="14">
        <v>129600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129600</v>
      </c>
      <c r="AM37" s="14">
        <v>9729.73</v>
      </c>
      <c r="AN37" s="14">
        <v>116756.76</v>
      </c>
      <c r="AO37" s="14">
        <v>0</v>
      </c>
      <c r="AP37" s="14">
        <v>116756.76</v>
      </c>
      <c r="AQ37" s="14">
        <v>0</v>
      </c>
      <c r="AR37" s="14">
        <v>116756.76</v>
      </c>
      <c r="AS37" s="14">
        <v>12843.24</v>
      </c>
      <c r="AT37" s="14">
        <v>129600</v>
      </c>
      <c r="AU37" t="s" s="10">
        <v>61</v>
      </c>
      <c r="AV37" t="s" s="10">
        <v>61</v>
      </c>
    </row>
    <row r="38" ht="13.65" customHeight="1">
      <c r="A38" t="s" s="9">
        <v>173</v>
      </c>
      <c r="B38" t="s" s="10">
        <v>49</v>
      </c>
      <c r="C38" s="11" cm="1">
        <f t="array" ref="C38">DATEVALUE("2025-05-06")</f>
        <v>45783</v>
      </c>
      <c r="D38" t="s" s="10">
        <v>167</v>
      </c>
      <c r="E38" t="s" s="10">
        <v>167</v>
      </c>
      <c r="F38" t="s" s="10">
        <v>168</v>
      </c>
      <c r="G38" t="s" s="10">
        <v>169</v>
      </c>
      <c r="H38" t="s" s="10">
        <v>170</v>
      </c>
      <c r="I38" s="12"/>
      <c r="J38" s="12"/>
      <c r="K38" t="s" s="10">
        <v>54</v>
      </c>
      <c r="L38" t="s" s="10">
        <v>55</v>
      </c>
      <c r="M38" s="12"/>
      <c r="N38" t="s" s="10">
        <v>56</v>
      </c>
      <c r="O38" t="s" s="10">
        <v>57</v>
      </c>
      <c r="P38" s="13">
        <v>4100000894</v>
      </c>
      <c r="Q38" s="12"/>
      <c r="R38" t="s" s="10">
        <v>58</v>
      </c>
      <c r="S38" s="14">
        <v>12</v>
      </c>
      <c r="T38" t="s" s="10">
        <v>60</v>
      </c>
      <c r="U38" s="14">
        <v>12</v>
      </c>
      <c r="V38" t="s" s="10">
        <v>60</v>
      </c>
      <c r="W38" s="14">
        <v>0</v>
      </c>
      <c r="X38" s="14">
        <v>5300</v>
      </c>
      <c r="Y38" s="14">
        <v>5300</v>
      </c>
      <c r="Z38" s="14">
        <v>63600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63600</v>
      </c>
      <c r="AM38" s="14">
        <v>4774.77</v>
      </c>
      <c r="AN38" s="14">
        <v>57297.3</v>
      </c>
      <c r="AO38" s="14">
        <v>0</v>
      </c>
      <c r="AP38" s="14">
        <v>57297.3</v>
      </c>
      <c r="AQ38" s="14">
        <v>0</v>
      </c>
      <c r="AR38" s="14">
        <v>57297.3</v>
      </c>
      <c r="AS38" s="14">
        <v>6302.7</v>
      </c>
      <c r="AT38" s="14">
        <v>63600</v>
      </c>
      <c r="AU38" t="s" s="10">
        <v>61</v>
      </c>
      <c r="AV38" t="s" s="10">
        <v>61</v>
      </c>
    </row>
    <row r="39" ht="13.65" customHeight="1">
      <c r="A39" t="s" s="9">
        <v>174</v>
      </c>
      <c r="B39" t="s" s="10">
        <v>49</v>
      </c>
      <c r="C39" s="11" cm="1">
        <f t="array" ref="C39">DATEVALUE("2025-05-06")</f>
        <v>45783</v>
      </c>
      <c r="D39" t="s" s="10">
        <v>167</v>
      </c>
      <c r="E39" t="s" s="10">
        <v>167</v>
      </c>
      <c r="F39" t="s" s="10">
        <v>168</v>
      </c>
      <c r="G39" t="s" s="10">
        <v>169</v>
      </c>
      <c r="H39" t="s" s="10">
        <v>170</v>
      </c>
      <c r="I39" s="12"/>
      <c r="J39" s="12"/>
      <c r="K39" t="s" s="10">
        <v>54</v>
      </c>
      <c r="L39" t="s" s="10">
        <v>55</v>
      </c>
      <c r="M39" s="12"/>
      <c r="N39" t="s" s="10">
        <v>56</v>
      </c>
      <c r="O39" t="s" s="10">
        <v>57</v>
      </c>
      <c r="P39" t="s" s="10">
        <v>175</v>
      </c>
      <c r="Q39" s="12"/>
      <c r="R39" t="s" s="10">
        <v>58</v>
      </c>
      <c r="S39" s="14">
        <v>1</v>
      </c>
      <c r="T39" t="s" s="10">
        <v>65</v>
      </c>
      <c r="U39" s="14">
        <v>24</v>
      </c>
      <c r="V39" t="s" s="10">
        <v>60</v>
      </c>
      <c r="W39" s="14">
        <v>0</v>
      </c>
      <c r="X39" s="14">
        <v>138000</v>
      </c>
      <c r="Y39" s="14">
        <v>138000</v>
      </c>
      <c r="Z39" s="14">
        <v>138000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138000</v>
      </c>
      <c r="AM39" s="14">
        <v>124324.32</v>
      </c>
      <c r="AN39" s="14">
        <v>124324.32</v>
      </c>
      <c r="AO39" s="14">
        <v>0</v>
      </c>
      <c r="AP39" s="14">
        <v>124324.32</v>
      </c>
      <c r="AQ39" s="14">
        <v>0</v>
      </c>
      <c r="AR39" s="14">
        <v>124324.32</v>
      </c>
      <c r="AS39" s="14">
        <v>13675.68</v>
      </c>
      <c r="AT39" s="14">
        <v>138000</v>
      </c>
      <c r="AU39" t="s" s="10">
        <v>61</v>
      </c>
      <c r="AV39" t="s" s="10">
        <v>61</v>
      </c>
    </row>
    <row r="40" ht="13.65" customHeight="1">
      <c r="A40" t="s" s="9">
        <v>176</v>
      </c>
      <c r="B40" t="s" s="10">
        <v>49</v>
      </c>
      <c r="C40" s="11" cm="1">
        <f t="array" ref="C40">DATEVALUE("2025-05-06")</f>
        <v>45783</v>
      </c>
      <c r="D40" t="s" s="10">
        <v>167</v>
      </c>
      <c r="E40" t="s" s="10">
        <v>167</v>
      </c>
      <c r="F40" t="s" s="10">
        <v>168</v>
      </c>
      <c r="G40" t="s" s="10">
        <v>169</v>
      </c>
      <c r="H40" t="s" s="10">
        <v>170</v>
      </c>
      <c r="I40" s="12"/>
      <c r="J40" s="12"/>
      <c r="K40" t="s" s="10">
        <v>54</v>
      </c>
      <c r="L40" t="s" s="10">
        <v>55</v>
      </c>
      <c r="M40" s="12"/>
      <c r="N40" t="s" s="10">
        <v>56</v>
      </c>
      <c r="O40" t="s" s="10">
        <v>57</v>
      </c>
      <c r="P40" s="13">
        <v>4100000450</v>
      </c>
      <c r="Q40" s="12"/>
      <c r="R40" t="s" s="10">
        <v>58</v>
      </c>
      <c r="S40" s="14">
        <v>2</v>
      </c>
      <c r="T40" t="s" s="10">
        <v>65</v>
      </c>
      <c r="U40" s="14">
        <v>24</v>
      </c>
      <c r="V40" t="s" s="10">
        <v>60</v>
      </c>
      <c r="W40" s="14">
        <v>0</v>
      </c>
      <c r="X40" s="14">
        <v>276000</v>
      </c>
      <c r="Y40" s="14">
        <v>276000</v>
      </c>
      <c r="Z40" s="14">
        <v>552000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552000</v>
      </c>
      <c r="AM40" s="14">
        <v>248648.65</v>
      </c>
      <c r="AN40" s="14">
        <v>497297.3</v>
      </c>
      <c r="AO40" s="14">
        <v>0</v>
      </c>
      <c r="AP40" s="14">
        <v>497297.3</v>
      </c>
      <c r="AQ40" s="14">
        <v>0</v>
      </c>
      <c r="AR40" s="14">
        <v>497297.3</v>
      </c>
      <c r="AS40" s="14">
        <v>54702.7</v>
      </c>
      <c r="AT40" s="14">
        <v>552000</v>
      </c>
      <c r="AU40" t="s" s="10">
        <v>61</v>
      </c>
      <c r="AV40" t="s" s="10">
        <v>61</v>
      </c>
    </row>
    <row r="41" ht="13.65" customHeight="1">
      <c r="A41" t="s" s="9">
        <v>177</v>
      </c>
      <c r="B41" t="s" s="10">
        <v>49</v>
      </c>
      <c r="C41" s="11" cm="1">
        <f t="array" ref="C41">DATEVALUE("2025-05-06")</f>
        <v>45783</v>
      </c>
      <c r="D41" t="s" s="10">
        <v>167</v>
      </c>
      <c r="E41" t="s" s="10">
        <v>167</v>
      </c>
      <c r="F41" t="s" s="10">
        <v>168</v>
      </c>
      <c r="G41" t="s" s="10">
        <v>169</v>
      </c>
      <c r="H41" t="s" s="10">
        <v>170</v>
      </c>
      <c r="I41" s="12"/>
      <c r="J41" s="12"/>
      <c r="K41" t="s" s="10">
        <v>54</v>
      </c>
      <c r="L41" t="s" s="10">
        <v>55</v>
      </c>
      <c r="M41" s="12"/>
      <c r="N41" t="s" s="10">
        <v>56</v>
      </c>
      <c r="O41" t="s" s="10">
        <v>57</v>
      </c>
      <c r="P41" s="13">
        <v>4100000442</v>
      </c>
      <c r="Q41" s="12"/>
      <c r="R41" t="s" s="10">
        <v>58</v>
      </c>
      <c r="S41" s="14">
        <v>2</v>
      </c>
      <c r="T41" t="s" s="10">
        <v>65</v>
      </c>
      <c r="U41" s="14">
        <v>4</v>
      </c>
      <c r="V41" t="s" s="10">
        <v>66</v>
      </c>
      <c r="W41" s="14">
        <v>0</v>
      </c>
      <c r="X41" s="14">
        <v>138000</v>
      </c>
      <c r="Y41" s="14">
        <v>138000</v>
      </c>
      <c r="Z41" s="14">
        <v>276000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276000</v>
      </c>
      <c r="AM41" s="14">
        <v>124324.32</v>
      </c>
      <c r="AN41" s="14">
        <v>248648.65</v>
      </c>
      <c r="AO41" s="14">
        <v>0</v>
      </c>
      <c r="AP41" s="14">
        <v>248648.65</v>
      </c>
      <c r="AQ41" s="14">
        <v>0</v>
      </c>
      <c r="AR41" s="14">
        <v>248648.65</v>
      </c>
      <c r="AS41" s="14">
        <v>27351.35</v>
      </c>
      <c r="AT41" s="14">
        <v>276000</v>
      </c>
      <c r="AU41" t="s" s="10">
        <v>61</v>
      </c>
      <c r="AV41" t="s" s="10">
        <v>61</v>
      </c>
    </row>
    <row r="42" ht="13.65" customHeight="1">
      <c r="A42" t="s" s="9">
        <v>178</v>
      </c>
      <c r="B42" t="s" s="10">
        <v>49</v>
      </c>
      <c r="C42" s="11" cm="1">
        <f t="array" ref="C42">DATEVALUE("2025-05-06")</f>
        <v>45783</v>
      </c>
      <c r="D42" t="s" s="10">
        <v>167</v>
      </c>
      <c r="E42" t="s" s="10">
        <v>167</v>
      </c>
      <c r="F42" t="s" s="10">
        <v>168</v>
      </c>
      <c r="G42" t="s" s="10">
        <v>169</v>
      </c>
      <c r="H42" t="s" s="10">
        <v>170</v>
      </c>
      <c r="I42" s="12"/>
      <c r="J42" s="12"/>
      <c r="K42" t="s" s="10">
        <v>54</v>
      </c>
      <c r="L42" t="s" s="10">
        <v>55</v>
      </c>
      <c r="M42" s="12"/>
      <c r="N42" t="s" s="10">
        <v>56</v>
      </c>
      <c r="O42" t="s" s="10">
        <v>57</v>
      </c>
      <c r="P42" s="13">
        <v>4100001284</v>
      </c>
      <c r="Q42" s="12"/>
      <c r="R42" t="s" s="10">
        <v>58</v>
      </c>
      <c r="S42" s="14">
        <v>1</v>
      </c>
      <c r="T42" t="s" s="10">
        <v>65</v>
      </c>
      <c r="U42" s="14">
        <v>24</v>
      </c>
      <c r="V42" t="s" s="10">
        <v>60</v>
      </c>
      <c r="W42" s="14">
        <v>0</v>
      </c>
      <c r="X42" s="14">
        <v>111600</v>
      </c>
      <c r="Y42" s="14">
        <v>111600</v>
      </c>
      <c r="Z42" s="14">
        <v>111600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111600</v>
      </c>
      <c r="AM42" s="14">
        <v>100540.54</v>
      </c>
      <c r="AN42" s="14">
        <v>100540.54</v>
      </c>
      <c r="AO42" s="14">
        <v>0</v>
      </c>
      <c r="AP42" s="14">
        <v>100540.54</v>
      </c>
      <c r="AQ42" s="14">
        <v>0</v>
      </c>
      <c r="AR42" s="14">
        <v>100540.54</v>
      </c>
      <c r="AS42" s="14">
        <v>11059.46</v>
      </c>
      <c r="AT42" s="14">
        <v>111600</v>
      </c>
      <c r="AU42" t="s" s="10">
        <v>61</v>
      </c>
      <c r="AV42" t="s" s="10">
        <v>61</v>
      </c>
    </row>
    <row r="43" ht="13.65" customHeight="1">
      <c r="A43" t="s" s="9">
        <v>179</v>
      </c>
      <c r="B43" t="s" s="10">
        <v>49</v>
      </c>
      <c r="C43" s="11" cm="1">
        <f t="array" ref="C43">DATEVALUE("2025-05-06")</f>
        <v>45783</v>
      </c>
      <c r="D43" t="s" s="10">
        <v>167</v>
      </c>
      <c r="E43" t="s" s="10">
        <v>167</v>
      </c>
      <c r="F43" t="s" s="10">
        <v>168</v>
      </c>
      <c r="G43" t="s" s="10">
        <v>169</v>
      </c>
      <c r="H43" t="s" s="10">
        <v>170</v>
      </c>
      <c r="I43" s="12"/>
      <c r="J43" s="12"/>
      <c r="K43" t="s" s="10">
        <v>54</v>
      </c>
      <c r="L43" t="s" s="10">
        <v>55</v>
      </c>
      <c r="M43" s="12"/>
      <c r="N43" t="s" s="10">
        <v>56</v>
      </c>
      <c r="O43" t="s" s="10">
        <v>57</v>
      </c>
      <c r="P43" s="13">
        <v>4100000987</v>
      </c>
      <c r="Q43" s="12"/>
      <c r="R43" t="s" s="10">
        <v>58</v>
      </c>
      <c r="S43" s="14">
        <v>1</v>
      </c>
      <c r="T43" t="s" s="10">
        <v>65</v>
      </c>
      <c r="U43" s="14">
        <v>16</v>
      </c>
      <c r="V43" t="s" s="10">
        <v>60</v>
      </c>
      <c r="W43" s="14">
        <v>0</v>
      </c>
      <c r="X43" s="14">
        <v>132000</v>
      </c>
      <c r="Y43" s="14">
        <v>132000</v>
      </c>
      <c r="Z43" s="14">
        <v>132000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132000</v>
      </c>
      <c r="AM43" s="14">
        <v>118918.92</v>
      </c>
      <c r="AN43" s="14">
        <v>118918.92</v>
      </c>
      <c r="AO43" s="14">
        <v>0</v>
      </c>
      <c r="AP43" s="14">
        <v>118918.92</v>
      </c>
      <c r="AQ43" s="14">
        <v>0</v>
      </c>
      <c r="AR43" s="14">
        <v>118918.92</v>
      </c>
      <c r="AS43" s="14">
        <v>13081.08</v>
      </c>
      <c r="AT43" s="14">
        <v>132000</v>
      </c>
      <c r="AU43" t="s" s="10">
        <v>61</v>
      </c>
      <c r="AV43" t="s" s="10">
        <v>61</v>
      </c>
    </row>
    <row r="44" ht="13.65" customHeight="1">
      <c r="A44" t="s" s="9">
        <v>180</v>
      </c>
      <c r="B44" t="s" s="10">
        <v>49</v>
      </c>
      <c r="C44" s="11" cm="1">
        <f t="array" ref="C44">DATEVALUE("2025-05-06")</f>
        <v>45783</v>
      </c>
      <c r="D44" t="s" s="10">
        <v>167</v>
      </c>
      <c r="E44" t="s" s="10">
        <v>167</v>
      </c>
      <c r="F44" t="s" s="10">
        <v>168</v>
      </c>
      <c r="G44" t="s" s="10">
        <v>169</v>
      </c>
      <c r="H44" t="s" s="10">
        <v>170</v>
      </c>
      <c r="I44" s="12"/>
      <c r="J44" s="12"/>
      <c r="K44" t="s" s="10">
        <v>54</v>
      </c>
      <c r="L44" t="s" s="10">
        <v>55</v>
      </c>
      <c r="M44" s="12"/>
      <c r="N44" t="s" s="10">
        <v>56</v>
      </c>
      <c r="O44" t="s" s="10">
        <v>57</v>
      </c>
      <c r="P44" s="13">
        <v>4100000920</v>
      </c>
      <c r="Q44" s="12"/>
      <c r="R44" t="s" s="10">
        <v>58</v>
      </c>
      <c r="S44" s="14">
        <v>1</v>
      </c>
      <c r="T44" t="s" s="10">
        <v>65</v>
      </c>
      <c r="U44" s="14">
        <v>16</v>
      </c>
      <c r="V44" t="s" s="10">
        <v>60</v>
      </c>
      <c r="W44" s="14">
        <v>0</v>
      </c>
      <c r="X44" s="14">
        <v>132000</v>
      </c>
      <c r="Y44" s="14">
        <v>132000</v>
      </c>
      <c r="Z44" s="14">
        <v>132000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132000</v>
      </c>
      <c r="AM44" s="14">
        <v>118918.92</v>
      </c>
      <c r="AN44" s="14">
        <v>118918.92</v>
      </c>
      <c r="AO44" s="14">
        <v>0</v>
      </c>
      <c r="AP44" s="14">
        <v>118918.92</v>
      </c>
      <c r="AQ44" s="14">
        <v>0</v>
      </c>
      <c r="AR44" s="14">
        <v>118918.92</v>
      </c>
      <c r="AS44" s="14">
        <v>13081.08</v>
      </c>
      <c r="AT44" s="14">
        <v>132000</v>
      </c>
      <c r="AU44" t="s" s="10">
        <v>61</v>
      </c>
      <c r="AV44" t="s" s="10">
        <v>61</v>
      </c>
    </row>
    <row r="45" ht="13.65" customHeight="1">
      <c r="A45" t="s" s="9">
        <v>181</v>
      </c>
      <c r="B45" t="s" s="10">
        <v>49</v>
      </c>
      <c r="C45" s="11" cm="1">
        <f t="array" ref="C45">DATEVALUE("2025-05-06")</f>
        <v>45783</v>
      </c>
      <c r="D45" t="s" s="10">
        <v>167</v>
      </c>
      <c r="E45" t="s" s="10">
        <v>167</v>
      </c>
      <c r="F45" t="s" s="10">
        <v>168</v>
      </c>
      <c r="G45" t="s" s="10">
        <v>169</v>
      </c>
      <c r="H45" t="s" s="10">
        <v>170</v>
      </c>
      <c r="I45" s="12"/>
      <c r="J45" s="12"/>
      <c r="K45" t="s" s="10">
        <v>54</v>
      </c>
      <c r="L45" t="s" s="10">
        <v>55</v>
      </c>
      <c r="M45" s="12"/>
      <c r="N45" t="s" s="10">
        <v>56</v>
      </c>
      <c r="O45" t="s" s="10">
        <v>57</v>
      </c>
      <c r="P45" s="13">
        <v>4100000909</v>
      </c>
      <c r="Q45" s="12"/>
      <c r="R45" t="s" s="10">
        <v>58</v>
      </c>
      <c r="S45" s="14">
        <v>1</v>
      </c>
      <c r="T45" t="s" s="10">
        <v>65</v>
      </c>
      <c r="U45" s="14">
        <v>16</v>
      </c>
      <c r="V45" t="s" s="10">
        <v>60</v>
      </c>
      <c r="W45" s="14">
        <v>0</v>
      </c>
      <c r="X45" s="14">
        <v>132000</v>
      </c>
      <c r="Y45" s="14">
        <v>132000</v>
      </c>
      <c r="Z45" s="14">
        <v>132000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132000</v>
      </c>
      <c r="AM45" s="14">
        <v>118918.92</v>
      </c>
      <c r="AN45" s="14">
        <v>118918.92</v>
      </c>
      <c r="AO45" s="14">
        <v>0</v>
      </c>
      <c r="AP45" s="14">
        <v>118918.92</v>
      </c>
      <c r="AQ45" s="14">
        <v>0</v>
      </c>
      <c r="AR45" s="14">
        <v>118918.92</v>
      </c>
      <c r="AS45" s="14">
        <v>13081.08</v>
      </c>
      <c r="AT45" s="14">
        <v>132000</v>
      </c>
      <c r="AU45" t="s" s="10">
        <v>61</v>
      </c>
      <c r="AV45" t="s" s="10">
        <v>61</v>
      </c>
    </row>
    <row r="46" ht="13.65" customHeight="1">
      <c r="A46" t="s" s="9">
        <v>182</v>
      </c>
      <c r="B46" t="s" s="10">
        <v>49</v>
      </c>
      <c r="C46" s="11" cm="1">
        <f t="array" ref="C46">DATEVALUE("2025-05-06")</f>
        <v>45783</v>
      </c>
      <c r="D46" t="s" s="10">
        <v>167</v>
      </c>
      <c r="E46" t="s" s="10">
        <v>167</v>
      </c>
      <c r="F46" t="s" s="10">
        <v>168</v>
      </c>
      <c r="G46" t="s" s="10">
        <v>169</v>
      </c>
      <c r="H46" t="s" s="10">
        <v>170</v>
      </c>
      <c r="I46" s="12"/>
      <c r="J46" s="12"/>
      <c r="K46" t="s" s="10">
        <v>54</v>
      </c>
      <c r="L46" t="s" s="10">
        <v>55</v>
      </c>
      <c r="M46" s="12"/>
      <c r="N46" t="s" s="10">
        <v>56</v>
      </c>
      <c r="O46" t="s" s="10">
        <v>57</v>
      </c>
      <c r="P46" s="13">
        <v>4100000447</v>
      </c>
      <c r="Q46" s="12"/>
      <c r="R46" t="s" s="10">
        <v>58</v>
      </c>
      <c r="S46" s="14">
        <v>1</v>
      </c>
      <c r="T46" t="s" s="10">
        <v>65</v>
      </c>
      <c r="U46" s="14">
        <v>24</v>
      </c>
      <c r="V46" t="s" s="10">
        <v>60</v>
      </c>
      <c r="W46" s="14">
        <v>0</v>
      </c>
      <c r="X46" s="14">
        <v>138000</v>
      </c>
      <c r="Y46" s="14">
        <v>138000</v>
      </c>
      <c r="Z46" s="14">
        <v>138000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138000</v>
      </c>
      <c r="AM46" s="14">
        <v>124324.32</v>
      </c>
      <c r="AN46" s="14">
        <v>124324.32</v>
      </c>
      <c r="AO46" s="14">
        <v>0</v>
      </c>
      <c r="AP46" s="14">
        <v>124324.32</v>
      </c>
      <c r="AQ46" s="14">
        <v>0</v>
      </c>
      <c r="AR46" s="14">
        <v>124324.32</v>
      </c>
      <c r="AS46" s="14">
        <v>13675.68</v>
      </c>
      <c r="AT46" s="14">
        <v>138000</v>
      </c>
      <c r="AU46" t="s" s="10">
        <v>61</v>
      </c>
      <c r="AV46" t="s" s="10">
        <v>61</v>
      </c>
    </row>
    <row r="47" ht="13.65" customHeight="1">
      <c r="A47" t="s" s="9">
        <v>183</v>
      </c>
      <c r="B47" t="s" s="10">
        <v>49</v>
      </c>
      <c r="C47" s="11" cm="1">
        <f t="array" ref="C47">DATEVALUE("2025-05-06")</f>
        <v>45783</v>
      </c>
      <c r="D47" t="s" s="10">
        <v>167</v>
      </c>
      <c r="E47" t="s" s="10">
        <v>167</v>
      </c>
      <c r="F47" t="s" s="10">
        <v>168</v>
      </c>
      <c r="G47" t="s" s="10">
        <v>169</v>
      </c>
      <c r="H47" t="s" s="10">
        <v>170</v>
      </c>
      <c r="I47" s="12"/>
      <c r="J47" s="12"/>
      <c r="K47" t="s" s="10">
        <v>54</v>
      </c>
      <c r="L47" t="s" s="10">
        <v>55</v>
      </c>
      <c r="M47" s="12"/>
      <c r="N47" t="s" s="10">
        <v>56</v>
      </c>
      <c r="O47" t="s" s="10">
        <v>57</v>
      </c>
      <c r="P47" s="13">
        <v>4100000445</v>
      </c>
      <c r="Q47" s="12"/>
      <c r="R47" t="s" s="10">
        <v>58</v>
      </c>
      <c r="S47" s="14">
        <v>2</v>
      </c>
      <c r="T47" t="s" s="10">
        <v>65</v>
      </c>
      <c r="U47" s="14">
        <v>48</v>
      </c>
      <c r="V47" t="s" s="10">
        <v>60</v>
      </c>
      <c r="W47" s="14">
        <v>0</v>
      </c>
      <c r="X47" s="14">
        <v>138000</v>
      </c>
      <c r="Y47" s="14">
        <v>138000</v>
      </c>
      <c r="Z47" s="14">
        <v>276000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276000</v>
      </c>
      <c r="AM47" s="14">
        <v>124324.32</v>
      </c>
      <c r="AN47" s="14">
        <v>248648.65</v>
      </c>
      <c r="AO47" s="14">
        <v>0</v>
      </c>
      <c r="AP47" s="14">
        <v>248648.65</v>
      </c>
      <c r="AQ47" s="14">
        <v>0</v>
      </c>
      <c r="AR47" s="14">
        <v>248648.65</v>
      </c>
      <c r="AS47" s="14">
        <v>27351.35</v>
      </c>
      <c r="AT47" s="14">
        <v>276000</v>
      </c>
      <c r="AU47" t="s" s="10">
        <v>61</v>
      </c>
      <c r="AV47" t="s" s="10">
        <v>61</v>
      </c>
    </row>
    <row r="48" ht="13.65" customHeight="1">
      <c r="A48" t="s" s="9">
        <v>184</v>
      </c>
      <c r="B48" t="s" s="10">
        <v>49</v>
      </c>
      <c r="C48" s="11" cm="1">
        <f t="array" ref="C48">DATEVALUE("2025-05-06")</f>
        <v>45783</v>
      </c>
      <c r="D48" t="s" s="10">
        <v>167</v>
      </c>
      <c r="E48" t="s" s="10">
        <v>167</v>
      </c>
      <c r="F48" t="s" s="10">
        <v>168</v>
      </c>
      <c r="G48" t="s" s="10">
        <v>169</v>
      </c>
      <c r="H48" t="s" s="10">
        <v>170</v>
      </c>
      <c r="I48" s="12"/>
      <c r="J48" s="12"/>
      <c r="K48" t="s" s="10">
        <v>54</v>
      </c>
      <c r="L48" t="s" s="10">
        <v>55</v>
      </c>
      <c r="M48" s="12"/>
      <c r="N48" t="s" s="10">
        <v>56</v>
      </c>
      <c r="O48" t="s" s="10">
        <v>57</v>
      </c>
      <c r="P48" t="s" s="10">
        <v>73</v>
      </c>
      <c r="Q48" s="12"/>
      <c r="R48" t="s" s="10">
        <v>58</v>
      </c>
      <c r="S48" s="14">
        <v>2</v>
      </c>
      <c r="T48" t="s" s="10">
        <v>65</v>
      </c>
      <c r="U48" s="14">
        <v>120</v>
      </c>
      <c r="V48" t="s" s="10">
        <v>60</v>
      </c>
      <c r="W48" s="14">
        <v>0</v>
      </c>
      <c r="X48" s="14">
        <v>102300</v>
      </c>
      <c r="Y48" s="14">
        <v>102300</v>
      </c>
      <c r="Z48" s="14">
        <v>204600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204600</v>
      </c>
      <c r="AM48" s="14">
        <v>92162.16</v>
      </c>
      <c r="AN48" s="14">
        <v>184324.32</v>
      </c>
      <c r="AO48" s="14">
        <v>0</v>
      </c>
      <c r="AP48" s="14">
        <v>184324.32</v>
      </c>
      <c r="AQ48" s="14">
        <v>0</v>
      </c>
      <c r="AR48" s="14">
        <v>184324.32</v>
      </c>
      <c r="AS48" s="14">
        <v>20275.68</v>
      </c>
      <c r="AT48" s="14">
        <v>204600</v>
      </c>
      <c r="AU48" t="s" s="10">
        <v>61</v>
      </c>
      <c r="AV48" t="s" s="10">
        <v>61</v>
      </c>
    </row>
    <row r="49" ht="13.65" customHeight="1">
      <c r="A49" t="s" s="9">
        <v>185</v>
      </c>
      <c r="B49" t="s" s="10">
        <v>49</v>
      </c>
      <c r="C49" s="11" cm="1">
        <f t="array" ref="C49">DATEVALUE("2025-05-06")</f>
        <v>45783</v>
      </c>
      <c r="D49" t="s" s="10">
        <v>167</v>
      </c>
      <c r="E49" t="s" s="10">
        <v>167</v>
      </c>
      <c r="F49" t="s" s="10">
        <v>168</v>
      </c>
      <c r="G49" t="s" s="10">
        <v>169</v>
      </c>
      <c r="H49" t="s" s="10">
        <v>170</v>
      </c>
      <c r="I49" s="12"/>
      <c r="J49" s="12"/>
      <c r="K49" t="s" s="10">
        <v>54</v>
      </c>
      <c r="L49" t="s" s="10">
        <v>55</v>
      </c>
      <c r="M49" s="12"/>
      <c r="N49" t="s" s="10">
        <v>56</v>
      </c>
      <c r="O49" t="s" s="10">
        <v>57</v>
      </c>
      <c r="P49" s="13">
        <v>4100001206</v>
      </c>
      <c r="Q49" s="12"/>
      <c r="R49" t="s" s="10">
        <v>58</v>
      </c>
      <c r="S49" s="14">
        <v>1</v>
      </c>
      <c r="T49" t="s" s="10">
        <v>65</v>
      </c>
      <c r="U49" s="14">
        <v>60</v>
      </c>
      <c r="V49" t="s" s="10">
        <v>60</v>
      </c>
      <c r="W49" s="14">
        <v>0</v>
      </c>
      <c r="X49" s="14">
        <v>102300</v>
      </c>
      <c r="Y49" s="14">
        <v>102300</v>
      </c>
      <c r="Z49" s="14">
        <v>102300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102300</v>
      </c>
      <c r="AM49" s="14">
        <v>92162.16</v>
      </c>
      <c r="AN49" s="14">
        <v>92162.16</v>
      </c>
      <c r="AO49" s="14">
        <v>0</v>
      </c>
      <c r="AP49" s="14">
        <v>92162.16</v>
      </c>
      <c r="AQ49" s="14">
        <v>0</v>
      </c>
      <c r="AR49" s="14">
        <v>92162.16</v>
      </c>
      <c r="AS49" s="14">
        <v>10137.84</v>
      </c>
      <c r="AT49" s="14">
        <v>102300</v>
      </c>
      <c r="AU49" t="s" s="10">
        <v>61</v>
      </c>
      <c r="AV49" t="s" s="10">
        <v>61</v>
      </c>
    </row>
    <row r="50" ht="13.65" customHeight="1">
      <c r="A50" t="s" s="9">
        <v>186</v>
      </c>
      <c r="B50" t="s" s="10">
        <v>49</v>
      </c>
      <c r="C50" s="11" cm="1">
        <f t="array" ref="C50">DATEVALUE("2025-05-06")</f>
        <v>45783</v>
      </c>
      <c r="D50" t="s" s="10">
        <v>167</v>
      </c>
      <c r="E50" t="s" s="10">
        <v>167</v>
      </c>
      <c r="F50" t="s" s="10">
        <v>168</v>
      </c>
      <c r="G50" t="s" s="10">
        <v>169</v>
      </c>
      <c r="H50" t="s" s="10">
        <v>170</v>
      </c>
      <c r="I50" s="12"/>
      <c r="J50" s="12"/>
      <c r="K50" t="s" s="10">
        <v>54</v>
      </c>
      <c r="L50" t="s" s="10">
        <v>55</v>
      </c>
      <c r="M50" s="12"/>
      <c r="N50" t="s" s="10">
        <v>56</v>
      </c>
      <c r="O50" t="s" s="10">
        <v>57</v>
      </c>
      <c r="P50" s="13">
        <v>4100000852</v>
      </c>
      <c r="Q50" s="12"/>
      <c r="R50" t="s" s="10">
        <v>58</v>
      </c>
      <c r="S50" s="14">
        <v>4</v>
      </c>
      <c r="T50" t="s" s="10">
        <v>131</v>
      </c>
      <c r="U50" s="14">
        <v>48</v>
      </c>
      <c r="V50" t="s" s="10">
        <v>60</v>
      </c>
      <c r="W50" s="14">
        <v>0</v>
      </c>
      <c r="X50" s="14">
        <v>10725.6</v>
      </c>
      <c r="Y50" s="14">
        <v>10725.6</v>
      </c>
      <c r="Z50" s="14">
        <v>42902.4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42902.4</v>
      </c>
      <c r="AM50" s="14">
        <v>9662.700000000001</v>
      </c>
      <c r="AN50" s="14">
        <v>38650.81</v>
      </c>
      <c r="AO50" s="14">
        <v>0</v>
      </c>
      <c r="AP50" s="14">
        <v>38650.81</v>
      </c>
      <c r="AQ50" s="14">
        <v>0</v>
      </c>
      <c r="AR50" s="14">
        <v>38650.81</v>
      </c>
      <c r="AS50" s="14">
        <v>4251.59</v>
      </c>
      <c r="AT50" s="14">
        <v>42902.4</v>
      </c>
      <c r="AU50" t="s" s="10">
        <v>61</v>
      </c>
      <c r="AV50" t="s" s="10">
        <v>61</v>
      </c>
    </row>
    <row r="51" ht="13.65" customHeight="1">
      <c r="A51" t="s" s="9">
        <v>187</v>
      </c>
      <c r="B51" t="s" s="10">
        <v>49</v>
      </c>
      <c r="C51" s="11" cm="1">
        <f t="array" ref="C51">DATEVALUE("2025-05-06")</f>
        <v>45783</v>
      </c>
      <c r="D51" t="s" s="10">
        <v>167</v>
      </c>
      <c r="E51" t="s" s="10">
        <v>167</v>
      </c>
      <c r="F51" t="s" s="10">
        <v>168</v>
      </c>
      <c r="G51" t="s" s="10">
        <v>169</v>
      </c>
      <c r="H51" t="s" s="10">
        <v>170</v>
      </c>
      <c r="I51" s="12"/>
      <c r="J51" s="12"/>
      <c r="K51" t="s" s="10">
        <v>54</v>
      </c>
      <c r="L51" t="s" s="10">
        <v>55</v>
      </c>
      <c r="M51" s="12"/>
      <c r="N51" t="s" s="10">
        <v>56</v>
      </c>
      <c r="O51" t="s" s="10">
        <v>57</v>
      </c>
      <c r="P51" s="13">
        <v>4100000804</v>
      </c>
      <c r="Q51" s="12"/>
      <c r="R51" t="s" s="10">
        <v>58</v>
      </c>
      <c r="S51" s="14">
        <v>4</v>
      </c>
      <c r="T51" t="s" s="10">
        <v>131</v>
      </c>
      <c r="U51" s="14">
        <v>48</v>
      </c>
      <c r="V51" t="s" s="10">
        <v>60</v>
      </c>
      <c r="W51" s="14">
        <v>0</v>
      </c>
      <c r="X51" s="14">
        <v>10725.6</v>
      </c>
      <c r="Y51" s="14">
        <v>10725.6</v>
      </c>
      <c r="Z51" s="14">
        <v>42902.4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42902.4</v>
      </c>
      <c r="AM51" s="14">
        <v>9662.700000000001</v>
      </c>
      <c r="AN51" s="14">
        <v>38650.81</v>
      </c>
      <c r="AO51" s="14">
        <v>0</v>
      </c>
      <c r="AP51" s="14">
        <v>38650.81</v>
      </c>
      <c r="AQ51" s="14">
        <v>0</v>
      </c>
      <c r="AR51" s="14">
        <v>38650.81</v>
      </c>
      <c r="AS51" s="14">
        <v>4251.59</v>
      </c>
      <c r="AT51" s="14">
        <v>42902.4</v>
      </c>
      <c r="AU51" t="s" s="10">
        <v>61</v>
      </c>
      <c r="AV51" t="s" s="10">
        <v>61</v>
      </c>
    </row>
    <row r="52" ht="13.65" customHeight="1">
      <c r="A52" t="s" s="9">
        <v>188</v>
      </c>
      <c r="B52" t="s" s="10">
        <v>49</v>
      </c>
      <c r="C52" s="11" cm="1">
        <f t="array" ref="C52">DATEVALUE("2025-05-06")</f>
        <v>45783</v>
      </c>
      <c r="D52" t="s" s="10">
        <v>167</v>
      </c>
      <c r="E52" t="s" s="10">
        <v>167</v>
      </c>
      <c r="F52" t="s" s="10">
        <v>168</v>
      </c>
      <c r="G52" t="s" s="10">
        <v>169</v>
      </c>
      <c r="H52" t="s" s="10">
        <v>170</v>
      </c>
      <c r="I52" s="12"/>
      <c r="J52" s="12"/>
      <c r="K52" t="s" s="10">
        <v>54</v>
      </c>
      <c r="L52" t="s" s="10">
        <v>55</v>
      </c>
      <c r="M52" s="12"/>
      <c r="N52" t="s" s="10">
        <v>56</v>
      </c>
      <c r="O52" t="s" s="10">
        <v>57</v>
      </c>
      <c r="P52" t="s" s="10">
        <v>122</v>
      </c>
      <c r="Q52" s="12"/>
      <c r="R52" t="s" s="10">
        <v>58</v>
      </c>
      <c r="S52" s="14">
        <v>4</v>
      </c>
      <c r="T52" t="s" s="10">
        <v>123</v>
      </c>
      <c r="U52" s="14">
        <v>48</v>
      </c>
      <c r="V52" t="s" s="10">
        <v>60</v>
      </c>
      <c r="W52" s="14">
        <v>0</v>
      </c>
      <c r="X52" s="14">
        <v>10725.6</v>
      </c>
      <c r="Y52" s="14">
        <v>10725.6</v>
      </c>
      <c r="Z52" s="14">
        <v>42902.4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42902.4</v>
      </c>
      <c r="AM52" s="14">
        <v>9662.700000000001</v>
      </c>
      <c r="AN52" s="14">
        <v>38650.81</v>
      </c>
      <c r="AO52" s="14">
        <v>0</v>
      </c>
      <c r="AP52" s="14">
        <v>38650.81</v>
      </c>
      <c r="AQ52" s="14">
        <v>0</v>
      </c>
      <c r="AR52" s="14">
        <v>38650.81</v>
      </c>
      <c r="AS52" s="14">
        <v>4251.59</v>
      </c>
      <c r="AT52" s="14">
        <v>42902.4</v>
      </c>
      <c r="AU52" t="s" s="10">
        <v>61</v>
      </c>
      <c r="AV52" t="s" s="10">
        <v>61</v>
      </c>
    </row>
    <row r="53" ht="13.65" customHeight="1">
      <c r="A53" t="s" s="9">
        <v>189</v>
      </c>
      <c r="B53" t="s" s="10">
        <v>49</v>
      </c>
      <c r="C53" s="11" cm="1">
        <f t="array" ref="C53">DATEVALUE("2025-05-06")</f>
        <v>45783</v>
      </c>
      <c r="D53" t="s" s="10">
        <v>167</v>
      </c>
      <c r="E53" t="s" s="10">
        <v>167</v>
      </c>
      <c r="F53" t="s" s="10">
        <v>168</v>
      </c>
      <c r="G53" t="s" s="10">
        <v>169</v>
      </c>
      <c r="H53" t="s" s="10">
        <v>170</v>
      </c>
      <c r="I53" s="12"/>
      <c r="J53" s="12"/>
      <c r="K53" t="s" s="10">
        <v>54</v>
      </c>
      <c r="L53" t="s" s="10">
        <v>55</v>
      </c>
      <c r="M53" s="12"/>
      <c r="N53" t="s" s="10">
        <v>56</v>
      </c>
      <c r="O53" t="s" s="10">
        <v>57</v>
      </c>
      <c r="P53" s="13">
        <v>4100000664</v>
      </c>
      <c r="Q53" s="12"/>
      <c r="R53" t="s" s="10">
        <v>58</v>
      </c>
      <c r="S53" s="14">
        <v>1</v>
      </c>
      <c r="T53" t="s" s="10">
        <v>65</v>
      </c>
      <c r="U53" s="14">
        <v>144</v>
      </c>
      <c r="V53" t="s" s="10">
        <v>60</v>
      </c>
      <c r="W53" s="14">
        <v>0</v>
      </c>
      <c r="X53" s="14">
        <v>237600</v>
      </c>
      <c r="Y53" s="14">
        <v>237600</v>
      </c>
      <c r="Z53" s="14">
        <v>237600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237600</v>
      </c>
      <c r="AM53" s="14">
        <v>214054.05</v>
      </c>
      <c r="AN53" s="14">
        <v>214054.05</v>
      </c>
      <c r="AO53" s="14">
        <v>0</v>
      </c>
      <c r="AP53" s="14">
        <v>214054.05</v>
      </c>
      <c r="AQ53" s="14">
        <v>0</v>
      </c>
      <c r="AR53" s="14">
        <v>214054.05</v>
      </c>
      <c r="AS53" s="14">
        <v>23545.95</v>
      </c>
      <c r="AT53" s="14">
        <v>237600</v>
      </c>
      <c r="AU53" t="s" s="10">
        <v>61</v>
      </c>
      <c r="AV53" t="s" s="10">
        <v>61</v>
      </c>
    </row>
    <row r="54" ht="13.65" customHeight="1">
      <c r="A54" t="s" s="9">
        <v>190</v>
      </c>
      <c r="B54" t="s" s="10">
        <v>49</v>
      </c>
      <c r="C54" s="11" cm="1">
        <f t="array" ref="C54">DATEVALUE("2025-05-06")</f>
        <v>45783</v>
      </c>
      <c r="D54" t="s" s="10">
        <v>167</v>
      </c>
      <c r="E54" t="s" s="10">
        <v>167</v>
      </c>
      <c r="F54" t="s" s="10">
        <v>168</v>
      </c>
      <c r="G54" t="s" s="10">
        <v>169</v>
      </c>
      <c r="H54" t="s" s="10">
        <v>170</v>
      </c>
      <c r="I54" s="12"/>
      <c r="J54" s="12"/>
      <c r="K54" t="s" s="10">
        <v>54</v>
      </c>
      <c r="L54" t="s" s="10">
        <v>55</v>
      </c>
      <c r="M54" s="12"/>
      <c r="N54" t="s" s="10">
        <v>56</v>
      </c>
      <c r="O54" t="s" s="10">
        <v>57</v>
      </c>
      <c r="P54" s="13">
        <v>4100000871</v>
      </c>
      <c r="Q54" s="12"/>
      <c r="R54" t="s" s="10">
        <v>58</v>
      </c>
      <c r="S54" s="14">
        <v>1</v>
      </c>
      <c r="T54" t="s" s="10">
        <v>65</v>
      </c>
      <c r="U54" s="14">
        <v>12</v>
      </c>
      <c r="V54" t="s" s="10">
        <v>131</v>
      </c>
      <c r="W54" s="14">
        <v>0</v>
      </c>
      <c r="X54" s="14">
        <v>264000</v>
      </c>
      <c r="Y54" s="14">
        <v>264000</v>
      </c>
      <c r="Z54" s="14">
        <v>264000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264000</v>
      </c>
      <c r="AM54" s="14">
        <v>237837.84</v>
      </c>
      <c r="AN54" s="14">
        <v>237837.84</v>
      </c>
      <c r="AO54" s="14">
        <v>0</v>
      </c>
      <c r="AP54" s="14">
        <v>237837.84</v>
      </c>
      <c r="AQ54" s="14">
        <v>0</v>
      </c>
      <c r="AR54" s="14">
        <v>237837.84</v>
      </c>
      <c r="AS54" s="14">
        <v>26162.16</v>
      </c>
      <c r="AT54" s="14">
        <v>264000</v>
      </c>
      <c r="AU54" t="s" s="10">
        <v>61</v>
      </c>
      <c r="AV54" t="s" s="10">
        <v>61</v>
      </c>
    </row>
    <row r="55" ht="13.65" customHeight="1">
      <c r="A55" t="s" s="9">
        <v>191</v>
      </c>
      <c r="B55" t="s" s="10">
        <v>49</v>
      </c>
      <c r="C55" s="11" cm="1">
        <f t="array" ref="C55">DATEVALUE("2025-05-06")</f>
        <v>45783</v>
      </c>
      <c r="D55" t="s" s="10">
        <v>192</v>
      </c>
      <c r="E55" t="s" s="10">
        <v>192</v>
      </c>
      <c r="F55" t="s" s="10">
        <v>193</v>
      </c>
      <c r="G55" t="s" s="10">
        <v>194</v>
      </c>
      <c r="H55" t="s" s="10">
        <v>130</v>
      </c>
      <c r="I55" s="12"/>
      <c r="J55" s="12"/>
      <c r="K55" t="s" s="10">
        <v>54</v>
      </c>
      <c r="L55" t="s" s="10">
        <v>72</v>
      </c>
      <c r="M55" s="12"/>
      <c r="N55" t="s" s="10">
        <v>56</v>
      </c>
      <c r="O55" t="s" s="10">
        <v>57</v>
      </c>
      <c r="P55" t="s" s="10">
        <v>73</v>
      </c>
      <c r="Q55" s="12"/>
      <c r="R55" t="s" s="10">
        <v>58</v>
      </c>
      <c r="S55" s="14">
        <v>1</v>
      </c>
      <c r="T55" t="s" s="10">
        <v>65</v>
      </c>
      <c r="U55" s="14">
        <v>60</v>
      </c>
      <c r="V55" t="s" s="10">
        <v>60</v>
      </c>
      <c r="W55" s="14">
        <v>0</v>
      </c>
      <c r="X55" s="14">
        <v>102300</v>
      </c>
      <c r="Y55" s="14">
        <v>102300</v>
      </c>
      <c r="Z55" s="14">
        <v>102300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102300</v>
      </c>
      <c r="AM55" s="14">
        <v>92162.16</v>
      </c>
      <c r="AN55" s="14">
        <v>92162.16</v>
      </c>
      <c r="AO55" s="14">
        <v>0</v>
      </c>
      <c r="AP55" s="14">
        <v>92162.16</v>
      </c>
      <c r="AQ55" s="14">
        <v>0</v>
      </c>
      <c r="AR55" s="14">
        <v>92162.16</v>
      </c>
      <c r="AS55" s="14">
        <v>10137.84</v>
      </c>
      <c r="AT55" s="14">
        <v>102300</v>
      </c>
      <c r="AU55" t="s" s="10">
        <v>61</v>
      </c>
      <c r="AV55" t="s" s="10">
        <v>61</v>
      </c>
    </row>
    <row r="56" ht="13.65" customHeight="1">
      <c r="A56" t="s" s="9">
        <v>195</v>
      </c>
      <c r="B56" t="s" s="10">
        <v>49</v>
      </c>
      <c r="C56" s="11" cm="1">
        <f t="array" ref="C56">DATEVALUE("2025-05-06")</f>
        <v>45783</v>
      </c>
      <c r="D56" t="s" s="10">
        <v>196</v>
      </c>
      <c r="E56" t="s" s="10">
        <v>196</v>
      </c>
      <c r="F56" t="s" s="10">
        <v>197</v>
      </c>
      <c r="G56" t="s" s="10">
        <v>198</v>
      </c>
      <c r="H56" t="s" s="10">
        <v>130</v>
      </c>
      <c r="I56" s="12"/>
      <c r="J56" s="12"/>
      <c r="K56" t="s" s="10">
        <v>54</v>
      </c>
      <c r="L56" t="s" s="10">
        <v>72</v>
      </c>
      <c r="M56" s="12"/>
      <c r="N56" t="s" s="10">
        <v>56</v>
      </c>
      <c r="O56" t="s" s="10">
        <v>57</v>
      </c>
      <c r="P56" s="13">
        <v>4100001151</v>
      </c>
      <c r="Q56" s="12"/>
      <c r="R56" t="s" s="10">
        <v>58</v>
      </c>
      <c r="S56" s="14">
        <v>10</v>
      </c>
      <c r="T56" t="s" s="10">
        <v>65</v>
      </c>
      <c r="U56" s="14">
        <v>600</v>
      </c>
      <c r="V56" t="s" s="10">
        <v>60</v>
      </c>
      <c r="W56" s="14">
        <v>0</v>
      </c>
      <c r="X56" s="14">
        <v>102300</v>
      </c>
      <c r="Y56" s="14">
        <v>102300</v>
      </c>
      <c r="Z56" s="14">
        <v>1023000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1023000</v>
      </c>
      <c r="AM56" s="14">
        <v>92162.16</v>
      </c>
      <c r="AN56" s="14">
        <v>921621.62</v>
      </c>
      <c r="AO56" s="14">
        <v>0</v>
      </c>
      <c r="AP56" s="14">
        <v>921621.62</v>
      </c>
      <c r="AQ56" s="14">
        <v>0</v>
      </c>
      <c r="AR56" s="14">
        <v>921621.62</v>
      </c>
      <c r="AS56" s="14">
        <v>101378.38</v>
      </c>
      <c r="AT56" s="14">
        <v>1023000</v>
      </c>
      <c r="AU56" t="s" s="10">
        <v>61</v>
      </c>
      <c r="AV56" t="s" s="10">
        <v>61</v>
      </c>
    </row>
    <row r="57" ht="13.65" customHeight="1">
      <c r="A57" t="s" s="9">
        <v>199</v>
      </c>
      <c r="B57" t="s" s="10">
        <v>49</v>
      </c>
      <c r="C57" s="11" cm="1">
        <f t="array" ref="C57">DATEVALUE("2025-05-06")</f>
        <v>45783</v>
      </c>
      <c r="D57" t="s" s="10">
        <v>200</v>
      </c>
      <c r="E57" t="s" s="10">
        <v>200</v>
      </c>
      <c r="F57" t="s" s="10">
        <v>201</v>
      </c>
      <c r="G57" t="s" s="10">
        <v>202</v>
      </c>
      <c r="H57" t="s" s="10">
        <v>203</v>
      </c>
      <c r="I57" s="12"/>
      <c r="J57" s="12"/>
      <c r="K57" t="s" s="10">
        <v>54</v>
      </c>
      <c r="L57" t="s" s="10">
        <v>72</v>
      </c>
      <c r="M57" s="12"/>
      <c r="N57" t="s" s="10">
        <v>56</v>
      </c>
      <c r="O57" t="s" s="10">
        <v>57</v>
      </c>
      <c r="P57" t="s" s="10">
        <v>73</v>
      </c>
      <c r="Q57" s="12"/>
      <c r="R57" t="s" s="10">
        <v>58</v>
      </c>
      <c r="S57" s="14">
        <v>2</v>
      </c>
      <c r="T57" t="s" s="10">
        <v>65</v>
      </c>
      <c r="U57" s="14">
        <v>120</v>
      </c>
      <c r="V57" t="s" s="10">
        <v>60</v>
      </c>
      <c r="W57" s="14">
        <v>0</v>
      </c>
      <c r="X57" s="14">
        <v>102300</v>
      </c>
      <c r="Y57" s="14">
        <v>102300</v>
      </c>
      <c r="Z57" s="14">
        <v>204600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204600</v>
      </c>
      <c r="AM57" s="14">
        <v>92162.16</v>
      </c>
      <c r="AN57" s="14">
        <v>184324.32</v>
      </c>
      <c r="AO57" s="14">
        <v>0</v>
      </c>
      <c r="AP57" s="14">
        <v>184324.32</v>
      </c>
      <c r="AQ57" s="14">
        <v>0</v>
      </c>
      <c r="AR57" s="14">
        <v>184324.32</v>
      </c>
      <c r="AS57" s="14">
        <v>20275.68</v>
      </c>
      <c r="AT57" s="14">
        <v>204600</v>
      </c>
      <c r="AU57" t="s" s="10">
        <v>61</v>
      </c>
      <c r="AV57" t="s" s="10">
        <v>61</v>
      </c>
    </row>
    <row r="58" ht="13.65" customHeight="1">
      <c r="A58" t="s" s="9">
        <v>204</v>
      </c>
      <c r="B58" t="s" s="10">
        <v>49</v>
      </c>
      <c r="C58" s="11" cm="1">
        <f t="array" ref="C58">DATEVALUE("2025-05-06")</f>
        <v>45783</v>
      </c>
      <c r="D58" t="s" s="10">
        <v>205</v>
      </c>
      <c r="E58" t="s" s="10">
        <v>205</v>
      </c>
      <c r="F58" t="s" s="10">
        <v>206</v>
      </c>
      <c r="G58" t="s" s="10">
        <v>207</v>
      </c>
      <c r="H58" t="s" s="10">
        <v>208</v>
      </c>
      <c r="I58" s="12"/>
      <c r="J58" s="12"/>
      <c r="K58" t="s" s="10">
        <v>95</v>
      </c>
      <c r="L58" t="s" s="10">
        <v>55</v>
      </c>
      <c r="M58" s="12"/>
      <c r="N58" t="s" s="10">
        <v>56</v>
      </c>
      <c r="O58" t="s" s="10">
        <v>57</v>
      </c>
      <c r="P58" s="13">
        <v>4100000002</v>
      </c>
      <c r="Q58" s="12"/>
      <c r="R58" t="s" s="10">
        <v>58</v>
      </c>
      <c r="S58" s="14">
        <v>9</v>
      </c>
      <c r="T58" t="s" s="10">
        <v>65</v>
      </c>
      <c r="U58" s="14">
        <v>216</v>
      </c>
      <c r="V58" t="s" s="10">
        <v>60</v>
      </c>
      <c r="W58" s="14">
        <v>0</v>
      </c>
      <c r="X58" s="14">
        <v>205128</v>
      </c>
      <c r="Y58" s="14">
        <v>205128</v>
      </c>
      <c r="Z58" s="14">
        <v>1846152</v>
      </c>
      <c r="AA58" s="14">
        <v>2</v>
      </c>
      <c r="AB58" s="14">
        <v>4102.56</v>
      </c>
      <c r="AC58" s="14">
        <v>2.5</v>
      </c>
      <c r="AD58" s="14">
        <v>5025.636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82153.759999999995</v>
      </c>
      <c r="AL58" s="14">
        <v>1763998.24</v>
      </c>
      <c r="AM58" s="14">
        <v>184800</v>
      </c>
      <c r="AN58" s="14">
        <v>1663200</v>
      </c>
      <c r="AO58" s="14">
        <v>74012.399999999994</v>
      </c>
      <c r="AP58" s="14">
        <v>1589187.6</v>
      </c>
      <c r="AQ58" s="14">
        <v>0</v>
      </c>
      <c r="AR58" s="14">
        <v>1589187.6</v>
      </c>
      <c r="AS58" s="14">
        <v>174810.64</v>
      </c>
      <c r="AT58" s="14">
        <v>1763998.24</v>
      </c>
      <c r="AU58" t="s" s="10">
        <v>61</v>
      </c>
      <c r="AV58" t="s" s="10">
        <v>61</v>
      </c>
    </row>
    <row r="59" ht="13.65" customHeight="1">
      <c r="A59" t="s" s="9">
        <v>209</v>
      </c>
      <c r="B59" t="s" s="10">
        <v>49</v>
      </c>
      <c r="C59" s="11" cm="1">
        <f t="array" ref="C59">DATEVALUE("2025-05-06")</f>
        <v>45783</v>
      </c>
      <c r="D59" t="s" s="10">
        <v>205</v>
      </c>
      <c r="E59" t="s" s="10">
        <v>205</v>
      </c>
      <c r="F59" t="s" s="10">
        <v>206</v>
      </c>
      <c r="G59" t="s" s="10">
        <v>207</v>
      </c>
      <c r="H59" t="s" s="10">
        <v>208</v>
      </c>
      <c r="I59" s="12"/>
      <c r="J59" s="12"/>
      <c r="K59" t="s" s="10">
        <v>95</v>
      </c>
      <c r="L59" t="s" s="10">
        <v>55</v>
      </c>
      <c r="M59" s="12"/>
      <c r="N59" t="s" s="10">
        <v>56</v>
      </c>
      <c r="O59" t="s" s="10">
        <v>57</v>
      </c>
      <c r="P59" s="13">
        <v>4100000987</v>
      </c>
      <c r="Q59" s="12"/>
      <c r="R59" t="s" s="10">
        <v>58</v>
      </c>
      <c r="S59" s="14">
        <v>25</v>
      </c>
      <c r="T59" t="s" s="10">
        <v>65</v>
      </c>
      <c r="U59" s="14">
        <v>400</v>
      </c>
      <c r="V59" t="s" s="10">
        <v>60</v>
      </c>
      <c r="W59" s="14">
        <v>0</v>
      </c>
      <c r="X59" s="14">
        <v>132000</v>
      </c>
      <c r="Y59" s="14">
        <v>132000</v>
      </c>
      <c r="Z59" s="14">
        <v>3300000</v>
      </c>
      <c r="AA59" s="14">
        <v>2</v>
      </c>
      <c r="AB59" s="14">
        <v>2640</v>
      </c>
      <c r="AC59" s="14">
        <v>2.25</v>
      </c>
      <c r="AD59" s="14">
        <v>2910.6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138765</v>
      </c>
      <c r="AL59" s="14">
        <v>3161235</v>
      </c>
      <c r="AM59" s="14">
        <v>118918.92</v>
      </c>
      <c r="AN59" s="14">
        <v>2972972.97</v>
      </c>
      <c r="AO59" s="14">
        <v>125013.51</v>
      </c>
      <c r="AP59" s="14">
        <v>2847959.46</v>
      </c>
      <c r="AQ59" s="14">
        <v>0</v>
      </c>
      <c r="AR59" s="14">
        <v>2847959.46</v>
      </c>
      <c r="AS59" s="14">
        <v>313275.54</v>
      </c>
      <c r="AT59" s="14">
        <v>3161235</v>
      </c>
      <c r="AU59" t="s" s="10">
        <v>61</v>
      </c>
      <c r="AV59" t="s" s="10">
        <v>61</v>
      </c>
    </row>
    <row r="60" ht="13.65" customHeight="1">
      <c r="A60" t="s" s="9">
        <v>210</v>
      </c>
      <c r="B60" t="s" s="10">
        <v>49</v>
      </c>
      <c r="C60" s="11" cm="1">
        <f t="array" ref="C60">DATEVALUE("2025-05-07")</f>
        <v>45784</v>
      </c>
      <c r="D60" t="s" s="10">
        <v>211</v>
      </c>
      <c r="E60" t="s" s="10">
        <v>211</v>
      </c>
      <c r="F60" t="s" s="10">
        <v>212</v>
      </c>
      <c r="G60" t="s" s="10">
        <v>213</v>
      </c>
      <c r="H60" t="s" s="10">
        <v>214</v>
      </c>
      <c r="I60" s="12"/>
      <c r="J60" s="12"/>
      <c r="K60" t="s" s="10">
        <v>54</v>
      </c>
      <c r="L60" t="s" s="10">
        <v>72</v>
      </c>
      <c r="M60" s="12"/>
      <c r="N60" t="s" s="10">
        <v>56</v>
      </c>
      <c r="O60" t="s" s="10">
        <v>57</v>
      </c>
      <c r="P60" s="13">
        <v>4100001187</v>
      </c>
      <c r="Q60" s="12"/>
      <c r="R60" t="s" s="10">
        <v>58</v>
      </c>
      <c r="S60" s="14">
        <v>1</v>
      </c>
      <c r="T60" t="s" s="10">
        <v>123</v>
      </c>
      <c r="U60" s="14">
        <v>10</v>
      </c>
      <c r="V60" t="s" s="10">
        <v>60</v>
      </c>
      <c r="W60" s="14">
        <v>0</v>
      </c>
      <c r="X60" s="14">
        <v>17000</v>
      </c>
      <c r="Y60" s="14">
        <v>17000</v>
      </c>
      <c r="Z60" s="14">
        <v>17000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17000</v>
      </c>
      <c r="AM60" s="14">
        <v>15315.32</v>
      </c>
      <c r="AN60" s="14">
        <v>15315.32</v>
      </c>
      <c r="AO60" s="14">
        <v>0</v>
      </c>
      <c r="AP60" s="14">
        <v>15315.32</v>
      </c>
      <c r="AQ60" s="14">
        <v>0</v>
      </c>
      <c r="AR60" s="14">
        <v>15315.32</v>
      </c>
      <c r="AS60" s="14">
        <v>1684.68</v>
      </c>
      <c r="AT60" s="14">
        <v>17000</v>
      </c>
      <c r="AU60" s="12"/>
      <c r="AV60" s="12"/>
    </row>
    <row r="61" ht="13.65" customHeight="1">
      <c r="A61" t="s" s="9">
        <v>215</v>
      </c>
      <c r="B61" t="s" s="10">
        <v>49</v>
      </c>
      <c r="C61" s="11" cm="1">
        <f t="array" ref="C61">DATEVALUE("2025-05-07")</f>
        <v>45784</v>
      </c>
      <c r="D61" t="s" s="10">
        <v>211</v>
      </c>
      <c r="E61" t="s" s="10">
        <v>211</v>
      </c>
      <c r="F61" t="s" s="10">
        <v>212</v>
      </c>
      <c r="G61" t="s" s="10">
        <v>213</v>
      </c>
      <c r="H61" t="s" s="10">
        <v>214</v>
      </c>
      <c r="I61" s="12"/>
      <c r="J61" s="12"/>
      <c r="K61" t="s" s="10">
        <v>54</v>
      </c>
      <c r="L61" t="s" s="10">
        <v>72</v>
      </c>
      <c r="M61" s="12"/>
      <c r="N61" t="s" s="10">
        <v>56</v>
      </c>
      <c r="O61" t="s" s="10">
        <v>57</v>
      </c>
      <c r="P61" s="13">
        <v>4100001224</v>
      </c>
      <c r="Q61" s="12"/>
      <c r="R61" t="s" s="10">
        <v>58</v>
      </c>
      <c r="S61" s="14">
        <v>1</v>
      </c>
      <c r="T61" t="s" s="10">
        <v>123</v>
      </c>
      <c r="U61" s="14">
        <v>10</v>
      </c>
      <c r="V61" t="s" s="10">
        <v>60</v>
      </c>
      <c r="W61" s="14">
        <v>0</v>
      </c>
      <c r="X61" s="14">
        <v>17000</v>
      </c>
      <c r="Y61" s="14">
        <v>17000</v>
      </c>
      <c r="Z61" s="14">
        <v>17000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17000</v>
      </c>
      <c r="AM61" s="14">
        <v>15315.32</v>
      </c>
      <c r="AN61" s="14">
        <v>15315.32</v>
      </c>
      <c r="AO61" s="14">
        <v>0</v>
      </c>
      <c r="AP61" s="14">
        <v>15315.32</v>
      </c>
      <c r="AQ61" s="14">
        <v>0</v>
      </c>
      <c r="AR61" s="14">
        <v>15315.32</v>
      </c>
      <c r="AS61" s="14">
        <v>1684.68</v>
      </c>
      <c r="AT61" s="14">
        <v>17000</v>
      </c>
      <c r="AU61" s="12"/>
      <c r="AV61" s="12"/>
    </row>
    <row r="62" ht="13.65" customHeight="1">
      <c r="A62" t="s" s="9">
        <v>216</v>
      </c>
      <c r="B62" t="s" s="10">
        <v>49</v>
      </c>
      <c r="C62" s="11" cm="1">
        <f t="array" ref="C62">DATEVALUE("2025-05-07")</f>
        <v>45784</v>
      </c>
      <c r="D62" t="s" s="10">
        <v>211</v>
      </c>
      <c r="E62" t="s" s="10">
        <v>211</v>
      </c>
      <c r="F62" t="s" s="10">
        <v>212</v>
      </c>
      <c r="G62" t="s" s="10">
        <v>213</v>
      </c>
      <c r="H62" t="s" s="10">
        <v>214</v>
      </c>
      <c r="I62" s="12"/>
      <c r="J62" s="12"/>
      <c r="K62" t="s" s="10">
        <v>54</v>
      </c>
      <c r="L62" t="s" s="10">
        <v>72</v>
      </c>
      <c r="M62" s="12"/>
      <c r="N62" t="s" s="10">
        <v>56</v>
      </c>
      <c r="O62" t="s" s="10">
        <v>57</v>
      </c>
      <c r="P62" s="13">
        <v>4100001295</v>
      </c>
      <c r="Q62" s="12"/>
      <c r="R62" t="s" s="10">
        <v>58</v>
      </c>
      <c r="S62" s="14">
        <v>1</v>
      </c>
      <c r="T62" t="s" s="10">
        <v>123</v>
      </c>
      <c r="U62" s="14">
        <v>10</v>
      </c>
      <c r="V62" t="s" s="10">
        <v>60</v>
      </c>
      <c r="W62" s="14">
        <v>0</v>
      </c>
      <c r="X62" s="14">
        <v>16400</v>
      </c>
      <c r="Y62" s="14">
        <v>16400</v>
      </c>
      <c r="Z62" s="14">
        <v>16400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16400</v>
      </c>
      <c r="AM62" s="14">
        <v>14774.77</v>
      </c>
      <c r="AN62" s="14">
        <v>14774.77</v>
      </c>
      <c r="AO62" s="14">
        <v>0</v>
      </c>
      <c r="AP62" s="14">
        <v>14774.77</v>
      </c>
      <c r="AQ62" s="14">
        <v>0</v>
      </c>
      <c r="AR62" s="14">
        <v>14774.77</v>
      </c>
      <c r="AS62" s="14">
        <v>1625.22</v>
      </c>
      <c r="AT62" s="14">
        <v>16399.99</v>
      </c>
      <c r="AU62" s="12"/>
      <c r="AV62" s="12"/>
    </row>
    <row r="63" ht="13.65" customHeight="1">
      <c r="A63" t="s" s="9">
        <v>217</v>
      </c>
      <c r="B63" t="s" s="10">
        <v>49</v>
      </c>
      <c r="C63" s="11" cm="1">
        <f t="array" ref="C63">DATEVALUE("2025-05-07")</f>
        <v>45784</v>
      </c>
      <c r="D63" t="s" s="10">
        <v>211</v>
      </c>
      <c r="E63" t="s" s="10">
        <v>211</v>
      </c>
      <c r="F63" t="s" s="10">
        <v>212</v>
      </c>
      <c r="G63" t="s" s="10">
        <v>213</v>
      </c>
      <c r="H63" t="s" s="10">
        <v>214</v>
      </c>
      <c r="I63" s="12"/>
      <c r="J63" s="12"/>
      <c r="K63" t="s" s="10">
        <v>54</v>
      </c>
      <c r="L63" t="s" s="10">
        <v>72</v>
      </c>
      <c r="M63" s="12"/>
      <c r="N63" t="s" s="10">
        <v>56</v>
      </c>
      <c r="O63" t="s" s="10">
        <v>57</v>
      </c>
      <c r="P63" s="13">
        <v>4100001374</v>
      </c>
      <c r="Q63" s="12"/>
      <c r="R63" t="s" s="10">
        <v>58</v>
      </c>
      <c r="S63" s="14">
        <v>1</v>
      </c>
      <c r="T63" t="s" s="10">
        <v>123</v>
      </c>
      <c r="U63" s="14">
        <v>10</v>
      </c>
      <c r="V63" t="s" s="10">
        <v>60</v>
      </c>
      <c r="W63" s="14">
        <v>0</v>
      </c>
      <c r="X63" s="14">
        <v>17208.3</v>
      </c>
      <c r="Y63" s="14">
        <v>17208.3</v>
      </c>
      <c r="Z63" s="14">
        <v>17208.3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17208.3</v>
      </c>
      <c r="AM63" s="14">
        <v>15502.97</v>
      </c>
      <c r="AN63" s="14">
        <v>15502.97</v>
      </c>
      <c r="AO63" s="14">
        <v>0</v>
      </c>
      <c r="AP63" s="14">
        <v>15502.97</v>
      </c>
      <c r="AQ63" s="14">
        <v>0</v>
      </c>
      <c r="AR63" s="14">
        <v>15502.97</v>
      </c>
      <c r="AS63" s="14">
        <v>1705.34</v>
      </c>
      <c r="AT63" s="14">
        <v>17208.31</v>
      </c>
      <c r="AU63" s="12"/>
      <c r="AV63" s="12"/>
    </row>
    <row r="64" ht="13.65" customHeight="1">
      <c r="A64" t="s" s="9">
        <v>218</v>
      </c>
      <c r="B64" t="s" s="10">
        <v>49</v>
      </c>
      <c r="C64" s="11" cm="1">
        <f t="array" ref="C64">DATEVALUE("2025-05-07")</f>
        <v>45784</v>
      </c>
      <c r="D64" t="s" s="10">
        <v>219</v>
      </c>
      <c r="E64" t="s" s="10">
        <v>219</v>
      </c>
      <c r="F64" t="s" s="10">
        <v>220</v>
      </c>
      <c r="G64" t="s" s="10">
        <v>221</v>
      </c>
      <c r="H64" t="s" s="10">
        <v>130</v>
      </c>
      <c r="I64" s="12"/>
      <c r="J64" s="12"/>
      <c r="K64" t="s" s="10">
        <v>54</v>
      </c>
      <c r="L64" t="s" s="10">
        <v>72</v>
      </c>
      <c r="M64" s="12"/>
      <c r="N64" t="s" s="10">
        <v>56</v>
      </c>
      <c r="O64" t="s" s="10">
        <v>57</v>
      </c>
      <c r="P64" t="s" s="10">
        <v>125</v>
      </c>
      <c r="Q64" s="12"/>
      <c r="R64" t="s" s="10">
        <v>58</v>
      </c>
      <c r="S64" s="14">
        <v>4</v>
      </c>
      <c r="T64" t="s" s="10">
        <v>123</v>
      </c>
      <c r="U64" s="14">
        <v>48</v>
      </c>
      <c r="V64" t="s" s="10">
        <v>60</v>
      </c>
      <c r="W64" s="14">
        <v>0</v>
      </c>
      <c r="X64" s="14">
        <v>10725.6</v>
      </c>
      <c r="Y64" s="14">
        <v>10725.6</v>
      </c>
      <c r="Z64" s="14">
        <v>42902.4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42902.4</v>
      </c>
      <c r="AM64" s="14">
        <v>9662.700000000001</v>
      </c>
      <c r="AN64" s="14">
        <v>38650.81</v>
      </c>
      <c r="AO64" s="14">
        <v>0</v>
      </c>
      <c r="AP64" s="14">
        <v>38650.81</v>
      </c>
      <c r="AQ64" s="14">
        <v>0</v>
      </c>
      <c r="AR64" s="14">
        <v>38650.81</v>
      </c>
      <c r="AS64" s="14">
        <v>4251.59</v>
      </c>
      <c r="AT64" s="14">
        <v>42902.4</v>
      </c>
      <c r="AU64" t="s" s="10">
        <v>61</v>
      </c>
      <c r="AV64" t="s" s="10">
        <v>61</v>
      </c>
    </row>
    <row r="65" ht="13.65" customHeight="1">
      <c r="A65" t="s" s="9">
        <v>222</v>
      </c>
      <c r="B65" t="s" s="10">
        <v>49</v>
      </c>
      <c r="C65" s="11" cm="1">
        <f t="array" ref="C65">DATEVALUE("2025-05-07")</f>
        <v>45784</v>
      </c>
      <c r="D65" t="s" s="10">
        <v>219</v>
      </c>
      <c r="E65" t="s" s="10">
        <v>219</v>
      </c>
      <c r="F65" t="s" s="10">
        <v>220</v>
      </c>
      <c r="G65" t="s" s="10">
        <v>221</v>
      </c>
      <c r="H65" t="s" s="10">
        <v>130</v>
      </c>
      <c r="I65" s="12"/>
      <c r="J65" s="12"/>
      <c r="K65" t="s" s="10">
        <v>54</v>
      </c>
      <c r="L65" t="s" s="10">
        <v>72</v>
      </c>
      <c r="M65" s="12"/>
      <c r="N65" t="s" s="10">
        <v>56</v>
      </c>
      <c r="O65" t="s" s="10">
        <v>57</v>
      </c>
      <c r="P65" s="13">
        <v>4100000852</v>
      </c>
      <c r="Q65" s="12"/>
      <c r="R65" t="s" s="10">
        <v>58</v>
      </c>
      <c r="S65" s="14">
        <v>4</v>
      </c>
      <c r="T65" t="s" s="10">
        <v>131</v>
      </c>
      <c r="U65" s="14">
        <v>48</v>
      </c>
      <c r="V65" t="s" s="10">
        <v>60</v>
      </c>
      <c r="W65" s="14">
        <v>0</v>
      </c>
      <c r="X65" s="14">
        <v>10725.6</v>
      </c>
      <c r="Y65" s="14">
        <v>10725.6</v>
      </c>
      <c r="Z65" s="14">
        <v>42902.4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42902.4</v>
      </c>
      <c r="AM65" s="14">
        <v>9662.700000000001</v>
      </c>
      <c r="AN65" s="14">
        <v>38650.81</v>
      </c>
      <c r="AO65" s="14">
        <v>0</v>
      </c>
      <c r="AP65" s="14">
        <v>38650.81</v>
      </c>
      <c r="AQ65" s="14">
        <v>0</v>
      </c>
      <c r="AR65" s="14">
        <v>38650.81</v>
      </c>
      <c r="AS65" s="14">
        <v>4251.59</v>
      </c>
      <c r="AT65" s="14">
        <v>42902.4</v>
      </c>
      <c r="AU65" t="s" s="10">
        <v>61</v>
      </c>
      <c r="AV65" t="s" s="10">
        <v>61</v>
      </c>
    </row>
    <row r="66" ht="13.65" customHeight="1">
      <c r="A66" t="s" s="9">
        <v>223</v>
      </c>
      <c r="B66" t="s" s="10">
        <v>49</v>
      </c>
      <c r="C66" s="11" cm="1">
        <f t="array" ref="C66">DATEVALUE("2025-05-07")</f>
        <v>45784</v>
      </c>
      <c r="D66" t="s" s="10">
        <v>219</v>
      </c>
      <c r="E66" t="s" s="10">
        <v>219</v>
      </c>
      <c r="F66" t="s" s="10">
        <v>220</v>
      </c>
      <c r="G66" t="s" s="10">
        <v>221</v>
      </c>
      <c r="H66" t="s" s="10">
        <v>130</v>
      </c>
      <c r="I66" s="12"/>
      <c r="J66" s="12"/>
      <c r="K66" t="s" s="10">
        <v>54</v>
      </c>
      <c r="L66" t="s" s="10">
        <v>72</v>
      </c>
      <c r="M66" s="12"/>
      <c r="N66" t="s" s="10">
        <v>56</v>
      </c>
      <c r="O66" t="s" s="10">
        <v>57</v>
      </c>
      <c r="P66" s="13">
        <v>4100000804</v>
      </c>
      <c r="Q66" s="12"/>
      <c r="R66" t="s" s="10">
        <v>58</v>
      </c>
      <c r="S66" s="14">
        <v>4</v>
      </c>
      <c r="T66" t="s" s="10">
        <v>131</v>
      </c>
      <c r="U66" s="14">
        <v>48</v>
      </c>
      <c r="V66" t="s" s="10">
        <v>60</v>
      </c>
      <c r="W66" s="14">
        <v>0</v>
      </c>
      <c r="X66" s="14">
        <v>10725.6</v>
      </c>
      <c r="Y66" s="14">
        <v>10725.6</v>
      </c>
      <c r="Z66" s="14">
        <v>42902.4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42902.4</v>
      </c>
      <c r="AM66" s="14">
        <v>9662.700000000001</v>
      </c>
      <c r="AN66" s="14">
        <v>38650.81</v>
      </c>
      <c r="AO66" s="14">
        <v>0</v>
      </c>
      <c r="AP66" s="14">
        <v>38650.81</v>
      </c>
      <c r="AQ66" s="14">
        <v>0</v>
      </c>
      <c r="AR66" s="14">
        <v>38650.81</v>
      </c>
      <c r="AS66" s="14">
        <v>4251.59</v>
      </c>
      <c r="AT66" s="14">
        <v>42902.4</v>
      </c>
      <c r="AU66" t="s" s="10">
        <v>61</v>
      </c>
      <c r="AV66" t="s" s="10">
        <v>61</v>
      </c>
    </row>
    <row r="67" ht="13.65" customHeight="1">
      <c r="A67" t="s" s="9">
        <v>224</v>
      </c>
      <c r="B67" t="s" s="10">
        <v>49</v>
      </c>
      <c r="C67" s="11" cm="1">
        <f t="array" ref="C67">DATEVALUE("2025-05-07")</f>
        <v>45784</v>
      </c>
      <c r="D67" t="s" s="10">
        <v>219</v>
      </c>
      <c r="E67" t="s" s="10">
        <v>219</v>
      </c>
      <c r="F67" t="s" s="10">
        <v>220</v>
      </c>
      <c r="G67" t="s" s="10">
        <v>221</v>
      </c>
      <c r="H67" t="s" s="10">
        <v>130</v>
      </c>
      <c r="I67" s="12"/>
      <c r="J67" s="12"/>
      <c r="K67" t="s" s="10">
        <v>54</v>
      </c>
      <c r="L67" t="s" s="10">
        <v>72</v>
      </c>
      <c r="M67" s="12"/>
      <c r="N67" t="s" s="10">
        <v>56</v>
      </c>
      <c r="O67" t="s" s="10">
        <v>57</v>
      </c>
      <c r="P67" t="s" s="10">
        <v>122</v>
      </c>
      <c r="Q67" s="12"/>
      <c r="R67" t="s" s="10">
        <v>58</v>
      </c>
      <c r="S67" s="14">
        <v>4</v>
      </c>
      <c r="T67" t="s" s="10">
        <v>123</v>
      </c>
      <c r="U67" s="14">
        <v>48</v>
      </c>
      <c r="V67" t="s" s="10">
        <v>60</v>
      </c>
      <c r="W67" s="14">
        <v>0</v>
      </c>
      <c r="X67" s="14">
        <v>10725.6</v>
      </c>
      <c r="Y67" s="14">
        <v>10725.6</v>
      </c>
      <c r="Z67" s="14">
        <v>42902.4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42902.4</v>
      </c>
      <c r="AM67" s="14">
        <v>9662.700000000001</v>
      </c>
      <c r="AN67" s="14">
        <v>38650.81</v>
      </c>
      <c r="AO67" s="14">
        <v>0</v>
      </c>
      <c r="AP67" s="14">
        <v>38650.81</v>
      </c>
      <c r="AQ67" s="14">
        <v>0</v>
      </c>
      <c r="AR67" s="14">
        <v>38650.81</v>
      </c>
      <c r="AS67" s="14">
        <v>4251.59</v>
      </c>
      <c r="AT67" s="14">
        <v>42902.4</v>
      </c>
      <c r="AU67" t="s" s="10">
        <v>61</v>
      </c>
      <c r="AV67" t="s" s="10">
        <v>61</v>
      </c>
    </row>
    <row r="68" ht="13.65" customHeight="1">
      <c r="A68" t="s" s="9">
        <v>225</v>
      </c>
      <c r="B68" t="s" s="10">
        <v>49</v>
      </c>
      <c r="C68" s="11" cm="1">
        <f t="array" ref="C68">DATEVALUE("2025-05-07")</f>
        <v>45784</v>
      </c>
      <c r="D68" t="s" s="10">
        <v>226</v>
      </c>
      <c r="E68" t="s" s="10">
        <v>226</v>
      </c>
      <c r="F68" t="s" s="10">
        <v>92</v>
      </c>
      <c r="G68" t="s" s="10">
        <v>93</v>
      </c>
      <c r="H68" t="s" s="10">
        <v>94</v>
      </c>
      <c r="I68" s="12"/>
      <c r="J68" s="12"/>
      <c r="K68" t="s" s="10">
        <v>95</v>
      </c>
      <c r="L68" t="s" s="10">
        <v>55</v>
      </c>
      <c r="M68" s="12"/>
      <c r="N68" t="s" s="10">
        <v>56</v>
      </c>
      <c r="O68" t="s" s="10">
        <v>57</v>
      </c>
      <c r="P68" t="s" s="10">
        <v>73</v>
      </c>
      <c r="Q68" s="12"/>
      <c r="R68" t="s" s="10">
        <v>58</v>
      </c>
      <c r="S68" s="14">
        <v>12</v>
      </c>
      <c r="T68" t="s" s="10">
        <v>65</v>
      </c>
      <c r="U68" s="14">
        <v>720</v>
      </c>
      <c r="V68" t="s" s="10">
        <v>60</v>
      </c>
      <c r="W68" s="14">
        <v>0</v>
      </c>
      <c r="X68" s="14">
        <v>102300</v>
      </c>
      <c r="Y68" s="14">
        <v>102300</v>
      </c>
      <c r="Z68" s="14">
        <v>1227600</v>
      </c>
      <c r="AA68" s="14">
        <v>3</v>
      </c>
      <c r="AB68" s="14">
        <v>3069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36828</v>
      </c>
      <c r="AL68" s="14">
        <v>1190772</v>
      </c>
      <c r="AM68" s="14">
        <v>92162.16</v>
      </c>
      <c r="AN68" s="14">
        <v>1105945.95</v>
      </c>
      <c r="AO68" s="14">
        <v>33178.38</v>
      </c>
      <c r="AP68" s="14">
        <v>1072767.57</v>
      </c>
      <c r="AQ68" s="14">
        <v>0</v>
      </c>
      <c r="AR68" s="14">
        <v>1072767.57</v>
      </c>
      <c r="AS68" s="14">
        <v>118004.43</v>
      </c>
      <c r="AT68" s="14">
        <v>1190772</v>
      </c>
      <c r="AU68" t="s" s="10">
        <v>96</v>
      </c>
      <c r="AV68" t="s" s="10">
        <v>96</v>
      </c>
    </row>
    <row r="69" ht="13.65" customHeight="1">
      <c r="A69" t="s" s="9">
        <v>227</v>
      </c>
      <c r="B69" t="s" s="10">
        <v>49</v>
      </c>
      <c r="C69" s="11" cm="1">
        <f t="array" ref="C69">DATEVALUE("2025-05-07")</f>
        <v>45784</v>
      </c>
      <c r="D69" t="s" s="10">
        <v>228</v>
      </c>
      <c r="E69" t="s" s="10">
        <v>228</v>
      </c>
      <c r="F69" t="s" s="10">
        <v>92</v>
      </c>
      <c r="G69" t="s" s="10">
        <v>93</v>
      </c>
      <c r="H69" t="s" s="10">
        <v>94</v>
      </c>
      <c r="I69" s="12"/>
      <c r="J69" s="12"/>
      <c r="K69" t="s" s="10">
        <v>95</v>
      </c>
      <c r="L69" t="s" s="10">
        <v>55</v>
      </c>
      <c r="M69" s="12"/>
      <c r="N69" t="s" s="10">
        <v>56</v>
      </c>
      <c r="O69" t="s" s="10">
        <v>57</v>
      </c>
      <c r="P69" s="13">
        <v>4100000852</v>
      </c>
      <c r="Q69" s="12"/>
      <c r="R69" t="s" s="10">
        <v>58</v>
      </c>
      <c r="S69" s="14">
        <v>1</v>
      </c>
      <c r="T69" t="s" s="10">
        <v>65</v>
      </c>
      <c r="U69" s="14">
        <v>240</v>
      </c>
      <c r="V69" t="s" s="10">
        <v>60</v>
      </c>
      <c r="W69" s="14">
        <v>0</v>
      </c>
      <c r="X69" s="14">
        <v>214512</v>
      </c>
      <c r="Y69" s="14">
        <v>214512</v>
      </c>
      <c r="Z69" s="14">
        <v>214512</v>
      </c>
      <c r="AA69" s="14">
        <v>15</v>
      </c>
      <c r="AB69" s="14">
        <v>32176.8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32176.8</v>
      </c>
      <c r="AL69" s="14">
        <v>182335.2</v>
      </c>
      <c r="AM69" s="14">
        <v>193254.05</v>
      </c>
      <c r="AN69" s="14">
        <v>193254.06</v>
      </c>
      <c r="AO69" s="14">
        <v>28988.11</v>
      </c>
      <c r="AP69" s="14">
        <v>164265.95</v>
      </c>
      <c r="AQ69" s="14">
        <v>0</v>
      </c>
      <c r="AR69" s="14">
        <v>164265.95</v>
      </c>
      <c r="AS69" s="14">
        <v>18069.25</v>
      </c>
      <c r="AT69" s="14">
        <v>182335.2</v>
      </c>
      <c r="AU69" t="s" s="10">
        <v>96</v>
      </c>
      <c r="AV69" t="s" s="10">
        <v>96</v>
      </c>
    </row>
    <row r="70" ht="13.65" customHeight="1">
      <c r="A70" t="s" s="9">
        <v>229</v>
      </c>
      <c r="B70" t="s" s="10">
        <v>49</v>
      </c>
      <c r="C70" s="11" cm="1">
        <f t="array" ref="C70">DATEVALUE("2025-05-07")</f>
        <v>45784</v>
      </c>
      <c r="D70" t="s" s="10">
        <v>230</v>
      </c>
      <c r="E70" t="s" s="10">
        <v>230</v>
      </c>
      <c r="F70" t="s" s="10">
        <v>92</v>
      </c>
      <c r="G70" t="s" s="10">
        <v>93</v>
      </c>
      <c r="H70" t="s" s="10">
        <v>94</v>
      </c>
      <c r="I70" s="12"/>
      <c r="J70" s="12"/>
      <c r="K70" t="s" s="10">
        <v>95</v>
      </c>
      <c r="L70" t="s" s="10">
        <v>55</v>
      </c>
      <c r="M70" s="12"/>
      <c r="N70" t="s" s="10">
        <v>56</v>
      </c>
      <c r="O70" t="s" s="10">
        <v>57</v>
      </c>
      <c r="P70" s="13">
        <v>4100001284</v>
      </c>
      <c r="Q70" s="12"/>
      <c r="R70" t="s" s="10">
        <v>58</v>
      </c>
      <c r="S70" s="14">
        <v>1</v>
      </c>
      <c r="T70" t="s" s="10">
        <v>65</v>
      </c>
      <c r="U70" s="14">
        <v>24</v>
      </c>
      <c r="V70" t="s" s="10">
        <v>60</v>
      </c>
      <c r="W70" s="14">
        <v>0</v>
      </c>
      <c r="X70" s="14">
        <v>111600</v>
      </c>
      <c r="Y70" s="14">
        <v>115200</v>
      </c>
      <c r="Z70" s="14">
        <v>115200</v>
      </c>
      <c r="AA70" s="14">
        <v>15</v>
      </c>
      <c r="AB70" s="14">
        <v>17280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17280</v>
      </c>
      <c r="AL70" s="14">
        <v>97920</v>
      </c>
      <c r="AM70" s="14">
        <v>103783.78</v>
      </c>
      <c r="AN70" s="14">
        <v>103783.79</v>
      </c>
      <c r="AO70" s="14">
        <v>15567.57</v>
      </c>
      <c r="AP70" s="14">
        <v>88216.22</v>
      </c>
      <c r="AQ70" s="14">
        <v>0</v>
      </c>
      <c r="AR70" s="14">
        <v>88216.22</v>
      </c>
      <c r="AS70" s="14">
        <v>9703.780000000001</v>
      </c>
      <c r="AT70" s="14">
        <v>97920</v>
      </c>
      <c r="AU70" t="s" s="10">
        <v>96</v>
      </c>
      <c r="AV70" t="s" s="10">
        <v>96</v>
      </c>
    </row>
    <row r="71" ht="13.65" customHeight="1">
      <c r="A71" t="s" s="9">
        <v>231</v>
      </c>
      <c r="B71" t="s" s="10">
        <v>49</v>
      </c>
      <c r="C71" s="11" cm="1">
        <f t="array" ref="C71">DATEVALUE("2025-05-07")</f>
        <v>45784</v>
      </c>
      <c r="D71" t="s" s="10">
        <v>230</v>
      </c>
      <c r="E71" t="s" s="10">
        <v>230</v>
      </c>
      <c r="F71" t="s" s="10">
        <v>92</v>
      </c>
      <c r="G71" t="s" s="10">
        <v>93</v>
      </c>
      <c r="H71" t="s" s="10">
        <v>94</v>
      </c>
      <c r="I71" s="12"/>
      <c r="J71" s="12"/>
      <c r="K71" t="s" s="10">
        <v>95</v>
      </c>
      <c r="L71" t="s" s="10">
        <v>55</v>
      </c>
      <c r="M71" s="12"/>
      <c r="N71" t="s" s="10">
        <v>56</v>
      </c>
      <c r="O71" t="s" s="10">
        <v>57</v>
      </c>
      <c r="P71" t="s" s="10">
        <v>73</v>
      </c>
      <c r="Q71" s="12"/>
      <c r="R71" t="s" s="10">
        <v>58</v>
      </c>
      <c r="S71" s="14">
        <v>2</v>
      </c>
      <c r="T71" t="s" s="10">
        <v>65</v>
      </c>
      <c r="U71" s="14">
        <v>120</v>
      </c>
      <c r="V71" t="s" s="10">
        <v>60</v>
      </c>
      <c r="W71" s="14">
        <v>0</v>
      </c>
      <c r="X71" s="14">
        <v>102300</v>
      </c>
      <c r="Y71" s="14">
        <v>102300</v>
      </c>
      <c r="Z71" s="14">
        <v>204600</v>
      </c>
      <c r="AA71" s="14">
        <v>3</v>
      </c>
      <c r="AB71" s="14">
        <v>3069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6138</v>
      </c>
      <c r="AL71" s="14">
        <v>198462</v>
      </c>
      <c r="AM71" s="14">
        <v>92162.16</v>
      </c>
      <c r="AN71" s="14">
        <v>184324.32</v>
      </c>
      <c r="AO71" s="14">
        <v>5529.73</v>
      </c>
      <c r="AP71" s="14">
        <v>178794.59</v>
      </c>
      <c r="AQ71" s="14">
        <v>0</v>
      </c>
      <c r="AR71" s="14">
        <v>178794.59</v>
      </c>
      <c r="AS71" s="14">
        <v>19667.41</v>
      </c>
      <c r="AT71" s="14">
        <v>198462</v>
      </c>
      <c r="AU71" t="s" s="10">
        <v>96</v>
      </c>
      <c r="AV71" t="s" s="10">
        <v>96</v>
      </c>
    </row>
    <row r="72" ht="13.65" customHeight="1">
      <c r="A72" t="s" s="9">
        <v>232</v>
      </c>
      <c r="B72" t="s" s="10">
        <v>49</v>
      </c>
      <c r="C72" s="11" cm="1">
        <f t="array" ref="C72">DATEVALUE("2025-05-07")</f>
        <v>45784</v>
      </c>
      <c r="D72" t="s" s="10">
        <v>230</v>
      </c>
      <c r="E72" t="s" s="10">
        <v>230</v>
      </c>
      <c r="F72" t="s" s="10">
        <v>92</v>
      </c>
      <c r="G72" t="s" s="10">
        <v>93</v>
      </c>
      <c r="H72" t="s" s="10">
        <v>94</v>
      </c>
      <c r="I72" s="12"/>
      <c r="J72" s="12"/>
      <c r="K72" t="s" s="10">
        <v>95</v>
      </c>
      <c r="L72" t="s" s="10">
        <v>55</v>
      </c>
      <c r="M72" s="12"/>
      <c r="N72" t="s" s="10">
        <v>56</v>
      </c>
      <c r="O72" t="s" s="10">
        <v>57</v>
      </c>
      <c r="P72" s="13">
        <v>4100000987</v>
      </c>
      <c r="Q72" s="12"/>
      <c r="R72" t="s" s="10">
        <v>58</v>
      </c>
      <c r="S72" s="14">
        <v>1</v>
      </c>
      <c r="T72" t="s" s="10">
        <v>65</v>
      </c>
      <c r="U72" s="14">
        <v>16</v>
      </c>
      <c r="V72" t="s" s="10">
        <v>60</v>
      </c>
      <c r="W72" s="14">
        <v>0</v>
      </c>
      <c r="X72" s="14">
        <v>132000</v>
      </c>
      <c r="Y72" s="14">
        <v>132000</v>
      </c>
      <c r="Z72" s="14">
        <v>132000</v>
      </c>
      <c r="AA72" s="14">
        <v>15</v>
      </c>
      <c r="AB72" s="14">
        <v>19800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19800</v>
      </c>
      <c r="AL72" s="14">
        <v>112200</v>
      </c>
      <c r="AM72" s="14">
        <v>118918.92</v>
      </c>
      <c r="AN72" s="14">
        <v>118918.92</v>
      </c>
      <c r="AO72" s="14">
        <v>17837.84</v>
      </c>
      <c r="AP72" s="14">
        <v>101081.08</v>
      </c>
      <c r="AQ72" s="14">
        <v>0</v>
      </c>
      <c r="AR72" s="14">
        <v>101081.08</v>
      </c>
      <c r="AS72" s="14">
        <v>11118.92</v>
      </c>
      <c r="AT72" s="14">
        <v>112200</v>
      </c>
      <c r="AU72" t="s" s="10">
        <v>96</v>
      </c>
      <c r="AV72" t="s" s="10">
        <v>96</v>
      </c>
    </row>
    <row r="73" ht="13.65" customHeight="1">
      <c r="A73" t="s" s="9">
        <v>233</v>
      </c>
      <c r="B73" t="s" s="10">
        <v>49</v>
      </c>
      <c r="C73" s="11" cm="1">
        <f t="array" ref="C73">DATEVALUE("2025-05-07")</f>
        <v>45784</v>
      </c>
      <c r="D73" t="s" s="10">
        <v>234</v>
      </c>
      <c r="E73" t="s" s="10">
        <v>234</v>
      </c>
      <c r="F73" t="s" s="10">
        <v>235</v>
      </c>
      <c r="G73" t="s" s="10">
        <v>236</v>
      </c>
      <c r="H73" t="s" s="10">
        <v>237</v>
      </c>
      <c r="I73" s="12"/>
      <c r="J73" s="12"/>
      <c r="K73" t="s" s="10">
        <v>54</v>
      </c>
      <c r="L73" t="s" s="10">
        <v>55</v>
      </c>
      <c r="M73" s="12"/>
      <c r="N73" t="s" s="10">
        <v>56</v>
      </c>
      <c r="O73" t="s" s="10">
        <v>57</v>
      </c>
      <c r="P73" t="s" s="10">
        <v>122</v>
      </c>
      <c r="Q73" s="12"/>
      <c r="R73" t="s" s="10">
        <v>58</v>
      </c>
      <c r="S73" s="14">
        <v>3</v>
      </c>
      <c r="T73" t="s" s="10">
        <v>65</v>
      </c>
      <c r="U73" s="14">
        <v>720</v>
      </c>
      <c r="V73" t="s" s="10">
        <v>60</v>
      </c>
      <c r="W73" s="14">
        <v>0</v>
      </c>
      <c r="X73" s="14">
        <v>214512</v>
      </c>
      <c r="Y73" s="14">
        <v>214512</v>
      </c>
      <c r="Z73" s="14">
        <v>643536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643536</v>
      </c>
      <c r="AM73" s="14">
        <v>193254.05</v>
      </c>
      <c r="AN73" s="14">
        <v>579762.16</v>
      </c>
      <c r="AO73" s="14">
        <v>0</v>
      </c>
      <c r="AP73" s="14">
        <v>579762.16</v>
      </c>
      <c r="AQ73" s="14">
        <v>0</v>
      </c>
      <c r="AR73" s="14">
        <v>579762.16</v>
      </c>
      <c r="AS73" s="14">
        <v>63773.84</v>
      </c>
      <c r="AT73" s="14">
        <v>643536</v>
      </c>
      <c r="AU73" t="s" s="10">
        <v>61</v>
      </c>
      <c r="AV73" t="s" s="10">
        <v>61</v>
      </c>
    </row>
    <row r="74" ht="13.65" customHeight="1">
      <c r="A74" t="s" s="9">
        <v>238</v>
      </c>
      <c r="B74" t="s" s="10">
        <v>49</v>
      </c>
      <c r="C74" s="11" cm="1">
        <f t="array" ref="C74">DATEVALUE("2025-05-07")</f>
        <v>45784</v>
      </c>
      <c r="D74" t="s" s="10">
        <v>234</v>
      </c>
      <c r="E74" t="s" s="10">
        <v>234</v>
      </c>
      <c r="F74" t="s" s="10">
        <v>235</v>
      </c>
      <c r="G74" t="s" s="10">
        <v>236</v>
      </c>
      <c r="H74" t="s" s="10">
        <v>237</v>
      </c>
      <c r="I74" s="12"/>
      <c r="J74" s="12"/>
      <c r="K74" t="s" s="10">
        <v>54</v>
      </c>
      <c r="L74" t="s" s="10">
        <v>55</v>
      </c>
      <c r="M74" s="12"/>
      <c r="N74" t="s" s="10">
        <v>56</v>
      </c>
      <c r="O74" t="s" s="10">
        <v>57</v>
      </c>
      <c r="P74" s="13">
        <v>4100000450</v>
      </c>
      <c r="Q74" s="12"/>
      <c r="R74" t="s" s="10">
        <v>58</v>
      </c>
      <c r="S74" s="14">
        <v>3</v>
      </c>
      <c r="T74" t="s" s="10">
        <v>65</v>
      </c>
      <c r="U74" s="14">
        <v>36</v>
      </c>
      <c r="V74" t="s" s="10">
        <v>60</v>
      </c>
      <c r="W74" s="14">
        <v>0</v>
      </c>
      <c r="X74" s="14">
        <v>276000</v>
      </c>
      <c r="Y74" s="14">
        <v>276000</v>
      </c>
      <c r="Z74" s="14">
        <v>828000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828000</v>
      </c>
      <c r="AM74" s="14">
        <v>248648.65</v>
      </c>
      <c r="AN74" s="14">
        <v>745945.95</v>
      </c>
      <c r="AO74" s="14">
        <v>0</v>
      </c>
      <c r="AP74" s="14">
        <v>745945.95</v>
      </c>
      <c r="AQ74" s="14">
        <v>0</v>
      </c>
      <c r="AR74" s="14">
        <v>745945.95</v>
      </c>
      <c r="AS74" s="14">
        <v>82054.05</v>
      </c>
      <c r="AT74" s="14">
        <v>828000</v>
      </c>
      <c r="AU74" t="s" s="10">
        <v>61</v>
      </c>
      <c r="AV74" t="s" s="10">
        <v>61</v>
      </c>
    </row>
    <row r="75" ht="13.65" customHeight="1">
      <c r="A75" t="s" s="9">
        <v>239</v>
      </c>
      <c r="B75" t="s" s="10">
        <v>49</v>
      </c>
      <c r="C75" s="11" cm="1">
        <f t="array" ref="C75">DATEVALUE("2025-05-07")</f>
        <v>45784</v>
      </c>
      <c r="D75" t="s" s="10">
        <v>240</v>
      </c>
      <c r="E75" t="s" s="10">
        <v>240</v>
      </c>
      <c r="F75" t="s" s="10">
        <v>241</v>
      </c>
      <c r="G75" t="s" s="10">
        <v>242</v>
      </c>
      <c r="H75" t="s" s="10">
        <v>243</v>
      </c>
      <c r="I75" s="12"/>
      <c r="J75" s="12"/>
      <c r="K75" t="s" s="10">
        <v>54</v>
      </c>
      <c r="L75" t="s" s="10">
        <v>72</v>
      </c>
      <c r="M75" s="12"/>
      <c r="N75" t="s" s="10">
        <v>56</v>
      </c>
      <c r="O75" t="s" s="10">
        <v>57</v>
      </c>
      <c r="P75" s="13">
        <v>4100000575</v>
      </c>
      <c r="Q75" s="12"/>
      <c r="R75" t="s" s="10">
        <v>58</v>
      </c>
      <c r="S75" s="14">
        <v>2</v>
      </c>
      <c r="T75" t="s" s="10">
        <v>65</v>
      </c>
      <c r="U75" s="14">
        <v>24</v>
      </c>
      <c r="V75" t="s" s="10">
        <v>60</v>
      </c>
      <c r="W75" s="14">
        <v>0</v>
      </c>
      <c r="X75" s="14">
        <v>266400</v>
      </c>
      <c r="Y75" s="14">
        <v>266400</v>
      </c>
      <c r="Z75" s="14">
        <v>532800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532800</v>
      </c>
      <c r="AM75" s="14">
        <v>240000</v>
      </c>
      <c r="AN75" s="14">
        <v>480000</v>
      </c>
      <c r="AO75" s="14">
        <v>0</v>
      </c>
      <c r="AP75" s="14">
        <v>480000</v>
      </c>
      <c r="AQ75" s="14">
        <v>0</v>
      </c>
      <c r="AR75" s="14">
        <v>480000</v>
      </c>
      <c r="AS75" s="14">
        <v>52800</v>
      </c>
      <c r="AT75" s="14">
        <v>532800</v>
      </c>
      <c r="AU75" t="s" s="10">
        <v>61</v>
      </c>
      <c r="AV75" t="s" s="10">
        <v>61</v>
      </c>
    </row>
    <row r="76" ht="13.65" customHeight="1">
      <c r="A76" t="s" s="9">
        <v>244</v>
      </c>
      <c r="B76" t="s" s="10">
        <v>49</v>
      </c>
      <c r="C76" s="11" cm="1">
        <f t="array" ref="C76">DATEVALUE("2025-05-08")</f>
        <v>45785</v>
      </c>
      <c r="D76" t="s" s="10">
        <v>245</v>
      </c>
      <c r="E76" t="s" s="10">
        <v>245</v>
      </c>
      <c r="F76" t="s" s="10">
        <v>246</v>
      </c>
      <c r="G76" t="s" s="10">
        <v>247</v>
      </c>
      <c r="H76" t="s" s="10">
        <v>248</v>
      </c>
      <c r="I76" s="12"/>
      <c r="J76" s="12"/>
      <c r="K76" t="s" s="10">
        <v>54</v>
      </c>
      <c r="L76" t="s" s="10">
        <v>72</v>
      </c>
      <c r="M76" s="12"/>
      <c r="N76" t="s" s="10">
        <v>56</v>
      </c>
      <c r="O76" t="s" s="10">
        <v>57</v>
      </c>
      <c r="P76" s="13">
        <v>41000001424</v>
      </c>
      <c r="Q76" s="12"/>
      <c r="R76" t="s" s="10">
        <v>58</v>
      </c>
      <c r="S76" s="14">
        <v>1</v>
      </c>
      <c r="T76" t="s" s="10">
        <v>119</v>
      </c>
      <c r="U76" s="14">
        <v>12</v>
      </c>
      <c r="V76" t="s" s="10">
        <v>120</v>
      </c>
      <c r="W76" s="14">
        <v>0</v>
      </c>
      <c r="X76" s="14">
        <v>90000</v>
      </c>
      <c r="Y76" s="14">
        <v>90000</v>
      </c>
      <c r="Z76" s="14">
        <v>90000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90000</v>
      </c>
      <c r="AM76" s="14">
        <v>81081.08</v>
      </c>
      <c r="AN76" s="14">
        <v>81081.08</v>
      </c>
      <c r="AO76" s="14">
        <v>0</v>
      </c>
      <c r="AP76" s="14">
        <v>81081.08</v>
      </c>
      <c r="AQ76" s="14">
        <v>0</v>
      </c>
      <c r="AR76" s="14">
        <v>81081.08</v>
      </c>
      <c r="AS76" s="14">
        <v>8918.92</v>
      </c>
      <c r="AT76" s="14">
        <v>90000</v>
      </c>
      <c r="AU76" t="s" s="10">
        <v>61</v>
      </c>
      <c r="AV76" t="s" s="10">
        <v>61</v>
      </c>
    </row>
    <row r="77" ht="13.65" customHeight="1">
      <c r="A77" t="s" s="9">
        <v>249</v>
      </c>
      <c r="B77" t="s" s="10">
        <v>49</v>
      </c>
      <c r="C77" s="11" cm="1">
        <f t="array" ref="C77">DATEVALUE("2025-05-08")</f>
        <v>45785</v>
      </c>
      <c r="D77" t="s" s="10">
        <v>245</v>
      </c>
      <c r="E77" t="s" s="10">
        <v>245</v>
      </c>
      <c r="F77" t="s" s="10">
        <v>246</v>
      </c>
      <c r="G77" t="s" s="10">
        <v>247</v>
      </c>
      <c r="H77" t="s" s="10">
        <v>248</v>
      </c>
      <c r="I77" s="12"/>
      <c r="J77" s="12"/>
      <c r="K77" t="s" s="10">
        <v>54</v>
      </c>
      <c r="L77" t="s" s="10">
        <v>72</v>
      </c>
      <c r="M77" s="12"/>
      <c r="N77" t="s" s="10">
        <v>56</v>
      </c>
      <c r="O77" t="s" s="10">
        <v>57</v>
      </c>
      <c r="P77" s="13">
        <v>4100001425</v>
      </c>
      <c r="Q77" s="12"/>
      <c r="R77" t="s" s="10">
        <v>58</v>
      </c>
      <c r="S77" s="14">
        <v>1</v>
      </c>
      <c r="T77" t="s" s="10">
        <v>66</v>
      </c>
      <c r="U77" s="14">
        <v>12</v>
      </c>
      <c r="V77" t="s" s="10">
        <v>120</v>
      </c>
      <c r="W77" s="14">
        <v>0</v>
      </c>
      <c r="X77" s="14">
        <v>100000.08</v>
      </c>
      <c r="Y77" s="14">
        <v>100000.08</v>
      </c>
      <c r="Z77" s="14">
        <v>100000.08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100000.08</v>
      </c>
      <c r="AM77" s="14">
        <v>90090.16</v>
      </c>
      <c r="AN77" s="14">
        <v>90090.16</v>
      </c>
      <c r="AO77" s="14">
        <v>0</v>
      </c>
      <c r="AP77" s="14">
        <v>90090.16</v>
      </c>
      <c r="AQ77" s="14">
        <v>0</v>
      </c>
      <c r="AR77" s="14">
        <v>90090.16</v>
      </c>
      <c r="AS77" s="14">
        <v>9909.92</v>
      </c>
      <c r="AT77" s="14">
        <v>100000.08</v>
      </c>
      <c r="AU77" t="s" s="10">
        <v>61</v>
      </c>
      <c r="AV77" t="s" s="10">
        <v>61</v>
      </c>
    </row>
    <row r="78" ht="13.65" customHeight="1">
      <c r="A78" t="s" s="9">
        <v>250</v>
      </c>
      <c r="B78" t="s" s="10">
        <v>49</v>
      </c>
      <c r="C78" s="11" cm="1">
        <f t="array" ref="C78">DATEVALUE("2025-05-08")</f>
        <v>45785</v>
      </c>
      <c r="D78" t="s" s="10">
        <v>251</v>
      </c>
      <c r="E78" t="s" s="10">
        <v>251</v>
      </c>
      <c r="F78" t="s" s="10">
        <v>252</v>
      </c>
      <c r="G78" t="s" s="10">
        <v>253</v>
      </c>
      <c r="H78" t="s" s="10">
        <v>248</v>
      </c>
      <c r="I78" s="12"/>
      <c r="J78" s="12"/>
      <c r="K78" t="s" s="10">
        <v>54</v>
      </c>
      <c r="L78" t="s" s="10">
        <v>72</v>
      </c>
      <c r="M78" s="12"/>
      <c r="N78" t="s" s="10">
        <v>56</v>
      </c>
      <c r="O78" t="s" s="10">
        <v>57</v>
      </c>
      <c r="P78" t="s" s="10">
        <v>122</v>
      </c>
      <c r="Q78" s="12"/>
      <c r="R78" t="s" s="10">
        <v>58</v>
      </c>
      <c r="S78" s="14">
        <v>4</v>
      </c>
      <c r="T78" t="s" s="10">
        <v>123</v>
      </c>
      <c r="U78" s="14">
        <v>48</v>
      </c>
      <c r="V78" t="s" s="10">
        <v>60</v>
      </c>
      <c r="W78" s="14">
        <v>0</v>
      </c>
      <c r="X78" s="14">
        <v>10725.6</v>
      </c>
      <c r="Y78" s="14">
        <v>10725.6</v>
      </c>
      <c r="Z78" s="14">
        <v>42902.4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42902.4</v>
      </c>
      <c r="AM78" s="14">
        <v>9662.700000000001</v>
      </c>
      <c r="AN78" s="14">
        <v>38650.81</v>
      </c>
      <c r="AO78" s="14">
        <v>0</v>
      </c>
      <c r="AP78" s="14">
        <v>38650.81</v>
      </c>
      <c r="AQ78" s="14">
        <v>0</v>
      </c>
      <c r="AR78" s="14">
        <v>38650.81</v>
      </c>
      <c r="AS78" s="14">
        <v>4251.59</v>
      </c>
      <c r="AT78" s="14">
        <v>42902.4</v>
      </c>
      <c r="AU78" t="s" s="10">
        <v>61</v>
      </c>
      <c r="AV78" t="s" s="10">
        <v>61</v>
      </c>
    </row>
    <row r="79" ht="13.65" customHeight="1">
      <c r="A79" t="s" s="9">
        <v>254</v>
      </c>
      <c r="B79" t="s" s="10">
        <v>49</v>
      </c>
      <c r="C79" s="11" cm="1">
        <f t="array" ref="C79">DATEVALUE("2025-05-08")</f>
        <v>45785</v>
      </c>
      <c r="D79" t="s" s="10">
        <v>251</v>
      </c>
      <c r="E79" t="s" s="10">
        <v>251</v>
      </c>
      <c r="F79" t="s" s="10">
        <v>252</v>
      </c>
      <c r="G79" t="s" s="10">
        <v>253</v>
      </c>
      <c r="H79" t="s" s="10">
        <v>248</v>
      </c>
      <c r="I79" s="12"/>
      <c r="J79" s="12"/>
      <c r="K79" t="s" s="10">
        <v>54</v>
      </c>
      <c r="L79" t="s" s="10">
        <v>72</v>
      </c>
      <c r="M79" s="12"/>
      <c r="N79" t="s" s="10">
        <v>56</v>
      </c>
      <c r="O79" t="s" s="10">
        <v>57</v>
      </c>
      <c r="P79" s="13">
        <v>4100000804</v>
      </c>
      <c r="Q79" s="12"/>
      <c r="R79" t="s" s="10">
        <v>58</v>
      </c>
      <c r="S79" s="14">
        <v>4</v>
      </c>
      <c r="T79" t="s" s="10">
        <v>131</v>
      </c>
      <c r="U79" s="14">
        <v>48</v>
      </c>
      <c r="V79" t="s" s="10">
        <v>60</v>
      </c>
      <c r="W79" s="14">
        <v>0</v>
      </c>
      <c r="X79" s="14">
        <v>10725.6</v>
      </c>
      <c r="Y79" s="14">
        <v>10725.6</v>
      </c>
      <c r="Z79" s="14">
        <v>42902.4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42902.4</v>
      </c>
      <c r="AM79" s="14">
        <v>9662.700000000001</v>
      </c>
      <c r="AN79" s="14">
        <v>38650.81</v>
      </c>
      <c r="AO79" s="14">
        <v>0</v>
      </c>
      <c r="AP79" s="14">
        <v>38650.81</v>
      </c>
      <c r="AQ79" s="14">
        <v>0</v>
      </c>
      <c r="AR79" s="14">
        <v>38650.81</v>
      </c>
      <c r="AS79" s="14">
        <v>4251.59</v>
      </c>
      <c r="AT79" s="14">
        <v>42902.4</v>
      </c>
      <c r="AU79" t="s" s="10">
        <v>61</v>
      </c>
      <c r="AV79" t="s" s="10">
        <v>61</v>
      </c>
    </row>
    <row r="80" ht="13.65" customHeight="1">
      <c r="A80" t="s" s="9">
        <v>255</v>
      </c>
      <c r="B80" t="s" s="10">
        <v>49</v>
      </c>
      <c r="C80" s="11" cm="1">
        <f t="array" ref="C80">DATEVALUE("2025-05-08")</f>
        <v>45785</v>
      </c>
      <c r="D80" t="s" s="10">
        <v>256</v>
      </c>
      <c r="E80" t="s" s="10">
        <v>256</v>
      </c>
      <c r="F80" t="s" s="10">
        <v>257</v>
      </c>
      <c r="G80" t="s" s="10">
        <v>258</v>
      </c>
      <c r="H80" t="s" s="10">
        <v>71</v>
      </c>
      <c r="I80" s="12"/>
      <c r="J80" s="12"/>
      <c r="K80" t="s" s="10">
        <v>54</v>
      </c>
      <c r="L80" t="s" s="10">
        <v>72</v>
      </c>
      <c r="M80" s="12"/>
      <c r="N80" t="s" s="10">
        <v>56</v>
      </c>
      <c r="O80" t="s" s="10">
        <v>57</v>
      </c>
      <c r="P80" t="s" s="10">
        <v>73</v>
      </c>
      <c r="Q80" s="12"/>
      <c r="R80" t="s" s="10">
        <v>58</v>
      </c>
      <c r="S80" s="14">
        <v>2</v>
      </c>
      <c r="T80" t="s" s="10">
        <v>65</v>
      </c>
      <c r="U80" s="14">
        <v>120</v>
      </c>
      <c r="V80" t="s" s="10">
        <v>60</v>
      </c>
      <c r="W80" s="14">
        <v>0</v>
      </c>
      <c r="X80" s="14">
        <v>102300</v>
      </c>
      <c r="Y80" s="14">
        <v>102300</v>
      </c>
      <c r="Z80" s="14">
        <v>204600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204600</v>
      </c>
      <c r="AM80" s="14">
        <v>92162.16</v>
      </c>
      <c r="AN80" s="14">
        <v>184324.32</v>
      </c>
      <c r="AO80" s="14">
        <v>0</v>
      </c>
      <c r="AP80" s="14">
        <v>184324.32</v>
      </c>
      <c r="AQ80" s="14">
        <v>0</v>
      </c>
      <c r="AR80" s="14">
        <v>184324.32</v>
      </c>
      <c r="AS80" s="14">
        <v>20275.68</v>
      </c>
      <c r="AT80" s="14">
        <v>204600</v>
      </c>
      <c r="AU80" t="s" s="10">
        <v>61</v>
      </c>
      <c r="AV80" t="s" s="10">
        <v>61</v>
      </c>
    </row>
    <row r="81" ht="13.65" customHeight="1">
      <c r="A81" t="s" s="9">
        <v>259</v>
      </c>
      <c r="B81" t="s" s="10">
        <v>49</v>
      </c>
      <c r="C81" s="11" cm="1">
        <f t="array" ref="C81">DATEVALUE("2025-05-08")</f>
        <v>45785</v>
      </c>
      <c r="D81" t="s" s="10">
        <v>260</v>
      </c>
      <c r="E81" t="s" s="10">
        <v>260</v>
      </c>
      <c r="F81" t="s" s="10">
        <v>261</v>
      </c>
      <c r="G81" t="s" s="10">
        <v>262</v>
      </c>
      <c r="H81" t="s" s="10">
        <v>71</v>
      </c>
      <c r="I81" s="12"/>
      <c r="J81" s="12"/>
      <c r="K81" t="s" s="10">
        <v>54</v>
      </c>
      <c r="L81" t="s" s="10">
        <v>55</v>
      </c>
      <c r="M81" t="s" s="10">
        <v>263</v>
      </c>
      <c r="N81" t="s" s="10">
        <v>56</v>
      </c>
      <c r="O81" t="s" s="10">
        <v>57</v>
      </c>
      <c r="P81" s="13">
        <v>4100000967</v>
      </c>
      <c r="Q81" s="12"/>
      <c r="R81" t="s" s="10">
        <v>58</v>
      </c>
      <c r="S81" s="14">
        <v>12</v>
      </c>
      <c r="T81" t="s" s="10">
        <v>60</v>
      </c>
      <c r="U81" s="14">
        <v>12</v>
      </c>
      <c r="V81" t="s" s="10">
        <v>60</v>
      </c>
      <c r="W81" s="14">
        <v>0</v>
      </c>
      <c r="X81" s="14">
        <v>13622.73</v>
      </c>
      <c r="Y81" s="14">
        <v>13622.73</v>
      </c>
      <c r="Z81" s="14">
        <v>163472.76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163472.76</v>
      </c>
      <c r="AM81" s="14">
        <v>12272.73</v>
      </c>
      <c r="AN81" s="14">
        <v>147272.76</v>
      </c>
      <c r="AO81" s="14">
        <v>0</v>
      </c>
      <c r="AP81" s="14">
        <v>147272.76</v>
      </c>
      <c r="AQ81" s="14">
        <v>0</v>
      </c>
      <c r="AR81" s="14">
        <v>147272.76</v>
      </c>
      <c r="AS81" s="14">
        <v>16200</v>
      </c>
      <c r="AT81" s="14">
        <v>163472.76</v>
      </c>
      <c r="AU81" t="s" s="10">
        <v>61</v>
      </c>
      <c r="AV81" t="s" s="10">
        <v>61</v>
      </c>
    </row>
    <row r="82" ht="13.65" customHeight="1">
      <c r="A82" t="s" s="9">
        <v>264</v>
      </c>
      <c r="B82" t="s" s="10">
        <v>49</v>
      </c>
      <c r="C82" s="11" cm="1">
        <f t="array" ref="C82">DATEVALUE("2025-05-08")</f>
        <v>45785</v>
      </c>
      <c r="D82" t="s" s="10">
        <v>260</v>
      </c>
      <c r="E82" t="s" s="10">
        <v>260</v>
      </c>
      <c r="F82" t="s" s="10">
        <v>261</v>
      </c>
      <c r="G82" t="s" s="10">
        <v>262</v>
      </c>
      <c r="H82" t="s" s="10">
        <v>71</v>
      </c>
      <c r="I82" s="12"/>
      <c r="J82" s="12"/>
      <c r="K82" t="s" s="10">
        <v>54</v>
      </c>
      <c r="L82" t="s" s="10">
        <v>55</v>
      </c>
      <c r="M82" t="s" s="10">
        <v>263</v>
      </c>
      <c r="N82" t="s" s="10">
        <v>56</v>
      </c>
      <c r="O82" t="s" s="10">
        <v>57</v>
      </c>
      <c r="P82" s="13">
        <v>4100000852</v>
      </c>
      <c r="Q82" s="12"/>
      <c r="R82" t="s" s="10">
        <v>58</v>
      </c>
      <c r="S82" s="14">
        <v>6</v>
      </c>
      <c r="T82" t="s" s="10">
        <v>131</v>
      </c>
      <c r="U82" s="14">
        <v>72</v>
      </c>
      <c r="V82" t="s" s="10">
        <v>60</v>
      </c>
      <c r="W82" s="14">
        <v>0</v>
      </c>
      <c r="X82" s="14">
        <v>10725.6</v>
      </c>
      <c r="Y82" s="14">
        <v>10725.6</v>
      </c>
      <c r="Z82" s="14">
        <v>64353.6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64353.6</v>
      </c>
      <c r="AM82" s="14">
        <v>9662.700000000001</v>
      </c>
      <c r="AN82" s="14">
        <v>57976.22</v>
      </c>
      <c r="AO82" s="14">
        <v>0</v>
      </c>
      <c r="AP82" s="14">
        <v>57976.22</v>
      </c>
      <c r="AQ82" s="14">
        <v>0</v>
      </c>
      <c r="AR82" s="14">
        <v>57976.22</v>
      </c>
      <c r="AS82" s="14">
        <v>6377.38</v>
      </c>
      <c r="AT82" s="14">
        <v>64353.6</v>
      </c>
      <c r="AU82" t="s" s="10">
        <v>61</v>
      </c>
      <c r="AV82" t="s" s="10">
        <v>61</v>
      </c>
    </row>
    <row r="83" ht="13.65" customHeight="1">
      <c r="A83" t="s" s="9">
        <v>265</v>
      </c>
      <c r="B83" t="s" s="10">
        <v>49</v>
      </c>
      <c r="C83" s="11" cm="1">
        <f t="array" ref="C83">DATEVALUE("2025-05-08")</f>
        <v>45785</v>
      </c>
      <c r="D83" t="s" s="10">
        <v>260</v>
      </c>
      <c r="E83" t="s" s="10">
        <v>260</v>
      </c>
      <c r="F83" t="s" s="10">
        <v>261</v>
      </c>
      <c r="G83" t="s" s="10">
        <v>262</v>
      </c>
      <c r="H83" t="s" s="10">
        <v>71</v>
      </c>
      <c r="I83" s="12"/>
      <c r="J83" s="12"/>
      <c r="K83" t="s" s="10">
        <v>54</v>
      </c>
      <c r="L83" t="s" s="10">
        <v>55</v>
      </c>
      <c r="M83" t="s" s="10">
        <v>263</v>
      </c>
      <c r="N83" t="s" s="10">
        <v>56</v>
      </c>
      <c r="O83" t="s" s="10">
        <v>57</v>
      </c>
      <c r="P83" s="13">
        <v>4100000804</v>
      </c>
      <c r="Q83" s="12"/>
      <c r="R83" t="s" s="10">
        <v>58</v>
      </c>
      <c r="S83" s="14">
        <v>6</v>
      </c>
      <c r="T83" t="s" s="10">
        <v>131</v>
      </c>
      <c r="U83" s="14">
        <v>72</v>
      </c>
      <c r="V83" t="s" s="10">
        <v>60</v>
      </c>
      <c r="W83" s="14">
        <v>0</v>
      </c>
      <c r="X83" s="14">
        <v>10725.6</v>
      </c>
      <c r="Y83" s="14">
        <v>10725.6</v>
      </c>
      <c r="Z83" s="14">
        <v>64353.6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64353.6</v>
      </c>
      <c r="AM83" s="14">
        <v>9662.700000000001</v>
      </c>
      <c r="AN83" s="14">
        <v>57976.22</v>
      </c>
      <c r="AO83" s="14">
        <v>0</v>
      </c>
      <c r="AP83" s="14">
        <v>57976.22</v>
      </c>
      <c r="AQ83" s="14">
        <v>0</v>
      </c>
      <c r="AR83" s="14">
        <v>57976.22</v>
      </c>
      <c r="AS83" s="14">
        <v>6377.38</v>
      </c>
      <c r="AT83" s="14">
        <v>64353.6</v>
      </c>
      <c r="AU83" t="s" s="10">
        <v>61</v>
      </c>
      <c r="AV83" t="s" s="10">
        <v>61</v>
      </c>
    </row>
    <row r="84" ht="13.65" customHeight="1">
      <c r="A84" t="s" s="9">
        <v>266</v>
      </c>
      <c r="B84" t="s" s="10">
        <v>49</v>
      </c>
      <c r="C84" s="11" cm="1">
        <f t="array" ref="C84">DATEVALUE("2025-05-08")</f>
        <v>45785</v>
      </c>
      <c r="D84" t="s" s="10">
        <v>260</v>
      </c>
      <c r="E84" t="s" s="10">
        <v>260</v>
      </c>
      <c r="F84" t="s" s="10">
        <v>261</v>
      </c>
      <c r="G84" t="s" s="10">
        <v>262</v>
      </c>
      <c r="H84" t="s" s="10">
        <v>71</v>
      </c>
      <c r="I84" s="12"/>
      <c r="J84" s="12"/>
      <c r="K84" t="s" s="10">
        <v>54</v>
      </c>
      <c r="L84" t="s" s="10">
        <v>55</v>
      </c>
      <c r="M84" t="s" s="10">
        <v>263</v>
      </c>
      <c r="N84" t="s" s="10">
        <v>56</v>
      </c>
      <c r="O84" t="s" s="10">
        <v>57</v>
      </c>
      <c r="P84" s="13">
        <v>4100000894</v>
      </c>
      <c r="Q84" s="12"/>
      <c r="R84" t="s" s="10">
        <v>58</v>
      </c>
      <c r="S84" s="14">
        <v>12</v>
      </c>
      <c r="T84" t="s" s="10">
        <v>60</v>
      </c>
      <c r="U84" s="14">
        <v>12</v>
      </c>
      <c r="V84" t="s" s="10">
        <v>60</v>
      </c>
      <c r="W84" s="14">
        <v>0</v>
      </c>
      <c r="X84" s="14">
        <v>5300</v>
      </c>
      <c r="Y84" s="14">
        <v>5300</v>
      </c>
      <c r="Z84" s="14">
        <v>63600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63600</v>
      </c>
      <c r="AM84" s="14">
        <v>4774.77</v>
      </c>
      <c r="AN84" s="14">
        <v>57297.3</v>
      </c>
      <c r="AO84" s="14">
        <v>0</v>
      </c>
      <c r="AP84" s="14">
        <v>57297.3</v>
      </c>
      <c r="AQ84" s="14">
        <v>0</v>
      </c>
      <c r="AR84" s="14">
        <v>57297.3</v>
      </c>
      <c r="AS84" s="14">
        <v>6302.7</v>
      </c>
      <c r="AT84" s="14">
        <v>63600</v>
      </c>
      <c r="AU84" t="s" s="10">
        <v>61</v>
      </c>
      <c r="AV84" t="s" s="10">
        <v>61</v>
      </c>
    </row>
    <row r="85" ht="13.65" customHeight="1">
      <c r="A85" t="s" s="9">
        <v>267</v>
      </c>
      <c r="B85" t="s" s="10">
        <v>49</v>
      </c>
      <c r="C85" s="11" cm="1">
        <f t="array" ref="C85">DATEVALUE("2025-05-08")</f>
        <v>45785</v>
      </c>
      <c r="D85" t="s" s="10">
        <v>260</v>
      </c>
      <c r="E85" t="s" s="10">
        <v>260</v>
      </c>
      <c r="F85" t="s" s="10">
        <v>261</v>
      </c>
      <c r="G85" t="s" s="10">
        <v>262</v>
      </c>
      <c r="H85" t="s" s="10">
        <v>71</v>
      </c>
      <c r="I85" s="12"/>
      <c r="J85" s="12"/>
      <c r="K85" t="s" s="10">
        <v>54</v>
      </c>
      <c r="L85" t="s" s="10">
        <v>55</v>
      </c>
      <c r="M85" t="s" s="10">
        <v>263</v>
      </c>
      <c r="N85" t="s" s="10">
        <v>56</v>
      </c>
      <c r="O85" t="s" s="10">
        <v>57</v>
      </c>
      <c r="P85" s="13">
        <v>41000001223</v>
      </c>
      <c r="Q85" s="12"/>
      <c r="R85" t="s" s="10">
        <v>58</v>
      </c>
      <c r="S85" s="14">
        <v>6</v>
      </c>
      <c r="T85" t="s" s="10">
        <v>60</v>
      </c>
      <c r="U85" s="14">
        <v>6</v>
      </c>
      <c r="V85" t="s" s="10">
        <v>60</v>
      </c>
      <c r="W85" s="14">
        <v>0</v>
      </c>
      <c r="X85" s="14">
        <v>8958.34</v>
      </c>
      <c r="Y85" s="14">
        <v>8958.34</v>
      </c>
      <c r="Z85" s="14">
        <v>53750.04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53750.04</v>
      </c>
      <c r="AM85" s="14">
        <v>8070.58</v>
      </c>
      <c r="AN85" s="14">
        <v>48423.46</v>
      </c>
      <c r="AO85" s="14">
        <v>0</v>
      </c>
      <c r="AP85" s="14">
        <v>48423.46</v>
      </c>
      <c r="AQ85" s="14">
        <v>0</v>
      </c>
      <c r="AR85" s="14">
        <v>48423.46</v>
      </c>
      <c r="AS85" s="14">
        <v>5326.58</v>
      </c>
      <c r="AT85" s="14">
        <v>53750.04</v>
      </c>
      <c r="AU85" t="s" s="10">
        <v>61</v>
      </c>
      <c r="AV85" t="s" s="10">
        <v>61</v>
      </c>
    </row>
    <row r="86" ht="13.65" customHeight="1">
      <c r="A86" t="s" s="9">
        <v>268</v>
      </c>
      <c r="B86" t="s" s="10">
        <v>49</v>
      </c>
      <c r="C86" s="11" cm="1">
        <f t="array" ref="C86">DATEVALUE("2025-05-08")</f>
        <v>45785</v>
      </c>
      <c r="D86" t="s" s="10">
        <v>260</v>
      </c>
      <c r="E86" t="s" s="10">
        <v>260</v>
      </c>
      <c r="F86" t="s" s="10">
        <v>261</v>
      </c>
      <c r="G86" t="s" s="10">
        <v>262</v>
      </c>
      <c r="H86" t="s" s="10">
        <v>71</v>
      </c>
      <c r="I86" s="12"/>
      <c r="J86" s="12"/>
      <c r="K86" t="s" s="10">
        <v>54</v>
      </c>
      <c r="L86" t="s" s="10">
        <v>55</v>
      </c>
      <c r="M86" t="s" s="10">
        <v>263</v>
      </c>
      <c r="N86" t="s" s="10">
        <v>56</v>
      </c>
      <c r="O86" t="s" s="10">
        <v>57</v>
      </c>
      <c r="P86" s="13">
        <v>4100000356</v>
      </c>
      <c r="Q86" s="12"/>
      <c r="R86" t="s" s="10">
        <v>58</v>
      </c>
      <c r="S86" s="14">
        <v>12</v>
      </c>
      <c r="T86" t="s" s="10">
        <v>60</v>
      </c>
      <c r="U86" s="14">
        <v>12</v>
      </c>
      <c r="V86" t="s" s="10">
        <v>60</v>
      </c>
      <c r="W86" s="14">
        <v>0</v>
      </c>
      <c r="X86" s="14">
        <v>8600</v>
      </c>
      <c r="Y86" s="14">
        <v>8600</v>
      </c>
      <c r="Z86" s="14">
        <v>103200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103200</v>
      </c>
      <c r="AM86" s="14">
        <v>7747.75</v>
      </c>
      <c r="AN86" s="14">
        <v>92972.97</v>
      </c>
      <c r="AO86" s="14">
        <v>0</v>
      </c>
      <c r="AP86" s="14">
        <v>92972.97</v>
      </c>
      <c r="AQ86" s="14">
        <v>0</v>
      </c>
      <c r="AR86" s="14">
        <v>92972.97</v>
      </c>
      <c r="AS86" s="14">
        <v>10227.03</v>
      </c>
      <c r="AT86" s="14">
        <v>103200</v>
      </c>
      <c r="AU86" t="s" s="10">
        <v>61</v>
      </c>
      <c r="AV86" t="s" s="10">
        <v>61</v>
      </c>
    </row>
    <row r="87" ht="13.65" customHeight="1">
      <c r="A87" t="s" s="9">
        <v>269</v>
      </c>
      <c r="B87" t="s" s="10">
        <v>49</v>
      </c>
      <c r="C87" s="11" cm="1">
        <f t="array" ref="C87">DATEVALUE("2025-05-08")</f>
        <v>45785</v>
      </c>
      <c r="D87" t="s" s="10">
        <v>260</v>
      </c>
      <c r="E87" t="s" s="10">
        <v>260</v>
      </c>
      <c r="F87" t="s" s="10">
        <v>261</v>
      </c>
      <c r="G87" t="s" s="10">
        <v>262</v>
      </c>
      <c r="H87" t="s" s="10">
        <v>71</v>
      </c>
      <c r="I87" s="12"/>
      <c r="J87" s="12"/>
      <c r="K87" t="s" s="10">
        <v>54</v>
      </c>
      <c r="L87" t="s" s="10">
        <v>55</v>
      </c>
      <c r="M87" t="s" s="10">
        <v>263</v>
      </c>
      <c r="N87" t="s" s="10">
        <v>56</v>
      </c>
      <c r="O87" t="s" s="10">
        <v>57</v>
      </c>
      <c r="P87" s="13">
        <v>4100000871</v>
      </c>
      <c r="Q87" s="12"/>
      <c r="R87" t="s" s="10">
        <v>58</v>
      </c>
      <c r="S87" s="14">
        <v>2</v>
      </c>
      <c r="T87" t="s" s="10">
        <v>131</v>
      </c>
      <c r="U87" s="14">
        <v>2</v>
      </c>
      <c r="V87" t="s" s="10">
        <v>131</v>
      </c>
      <c r="W87" s="14">
        <v>0</v>
      </c>
      <c r="X87" s="14">
        <v>22000</v>
      </c>
      <c r="Y87" s="14">
        <v>22000</v>
      </c>
      <c r="Z87" s="14">
        <v>44000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44000</v>
      </c>
      <c r="AM87" s="14">
        <v>19819.82</v>
      </c>
      <c r="AN87" s="14">
        <v>39639.64</v>
      </c>
      <c r="AO87" s="14">
        <v>0</v>
      </c>
      <c r="AP87" s="14">
        <v>39639.64</v>
      </c>
      <c r="AQ87" s="14">
        <v>0</v>
      </c>
      <c r="AR87" s="14">
        <v>39639.64</v>
      </c>
      <c r="AS87" s="14">
        <v>4360.36</v>
      </c>
      <c r="AT87" s="14">
        <v>44000</v>
      </c>
      <c r="AU87" t="s" s="10">
        <v>61</v>
      </c>
      <c r="AV87" t="s" s="10">
        <v>61</v>
      </c>
    </row>
    <row r="88" ht="13.65" customHeight="1">
      <c r="A88" t="s" s="9">
        <v>270</v>
      </c>
      <c r="B88" t="s" s="10">
        <v>49</v>
      </c>
      <c r="C88" s="11" cm="1">
        <f t="array" ref="C88">DATEVALUE("2025-05-08")</f>
        <v>45785</v>
      </c>
      <c r="D88" t="s" s="10">
        <v>260</v>
      </c>
      <c r="E88" t="s" s="10">
        <v>260</v>
      </c>
      <c r="F88" t="s" s="10">
        <v>261</v>
      </c>
      <c r="G88" t="s" s="10">
        <v>262</v>
      </c>
      <c r="H88" t="s" s="10">
        <v>71</v>
      </c>
      <c r="I88" s="12"/>
      <c r="J88" s="12"/>
      <c r="K88" t="s" s="10">
        <v>54</v>
      </c>
      <c r="L88" t="s" s="10">
        <v>55</v>
      </c>
      <c r="M88" t="s" s="10">
        <v>263</v>
      </c>
      <c r="N88" t="s" s="10">
        <v>56</v>
      </c>
      <c r="O88" t="s" s="10">
        <v>57</v>
      </c>
      <c r="P88" s="13">
        <v>4100000875</v>
      </c>
      <c r="Q88" s="12"/>
      <c r="R88" t="s" s="10">
        <v>58</v>
      </c>
      <c r="S88" s="14">
        <v>2</v>
      </c>
      <c r="T88" t="s" s="10">
        <v>131</v>
      </c>
      <c r="U88" s="14">
        <v>20</v>
      </c>
      <c r="V88" t="s" s="10">
        <v>60</v>
      </c>
      <c r="W88" s="14">
        <v>0</v>
      </c>
      <c r="X88" s="14">
        <v>22000</v>
      </c>
      <c r="Y88" s="14">
        <v>22000</v>
      </c>
      <c r="Z88" s="14">
        <v>44000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44000</v>
      </c>
      <c r="AM88" s="14">
        <v>19819.82</v>
      </c>
      <c r="AN88" s="14">
        <v>39639.64</v>
      </c>
      <c r="AO88" s="14">
        <v>0</v>
      </c>
      <c r="AP88" s="14">
        <v>39639.64</v>
      </c>
      <c r="AQ88" s="14">
        <v>0</v>
      </c>
      <c r="AR88" s="14">
        <v>39639.64</v>
      </c>
      <c r="AS88" s="14">
        <v>4360.36</v>
      </c>
      <c r="AT88" s="14">
        <v>44000</v>
      </c>
      <c r="AU88" t="s" s="10">
        <v>61</v>
      </c>
      <c r="AV88" t="s" s="10">
        <v>61</v>
      </c>
    </row>
    <row r="89" ht="13.65" customHeight="1">
      <c r="A89" t="s" s="9">
        <v>271</v>
      </c>
      <c r="B89" t="s" s="10">
        <v>49</v>
      </c>
      <c r="C89" s="11" cm="1">
        <f t="array" ref="C89">DATEVALUE("2025-05-08")</f>
        <v>45785</v>
      </c>
      <c r="D89" t="s" s="10">
        <v>260</v>
      </c>
      <c r="E89" t="s" s="10">
        <v>260</v>
      </c>
      <c r="F89" t="s" s="10">
        <v>261</v>
      </c>
      <c r="G89" t="s" s="10">
        <v>262</v>
      </c>
      <c r="H89" t="s" s="10">
        <v>71</v>
      </c>
      <c r="I89" s="12"/>
      <c r="J89" s="12"/>
      <c r="K89" t="s" s="10">
        <v>54</v>
      </c>
      <c r="L89" t="s" s="10">
        <v>55</v>
      </c>
      <c r="M89" t="s" s="10">
        <v>263</v>
      </c>
      <c r="N89" t="s" s="10">
        <v>56</v>
      </c>
      <c r="O89" t="s" s="10">
        <v>57</v>
      </c>
      <c r="P89" s="13">
        <v>4100000447</v>
      </c>
      <c r="Q89" s="12"/>
      <c r="R89" t="s" s="10">
        <v>58</v>
      </c>
      <c r="S89" s="14">
        <v>1</v>
      </c>
      <c r="T89" t="s" s="10">
        <v>65</v>
      </c>
      <c r="U89" s="14">
        <v>24</v>
      </c>
      <c r="V89" t="s" s="10">
        <v>60</v>
      </c>
      <c r="W89" s="14">
        <v>0</v>
      </c>
      <c r="X89" s="14">
        <v>138000</v>
      </c>
      <c r="Y89" s="14">
        <v>138000</v>
      </c>
      <c r="Z89" s="14">
        <v>138000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138000</v>
      </c>
      <c r="AM89" s="14">
        <v>124324.32</v>
      </c>
      <c r="AN89" s="14">
        <v>124324.32</v>
      </c>
      <c r="AO89" s="14">
        <v>0</v>
      </c>
      <c r="AP89" s="14">
        <v>124324.32</v>
      </c>
      <c r="AQ89" s="14">
        <v>0</v>
      </c>
      <c r="AR89" s="14">
        <v>124324.32</v>
      </c>
      <c r="AS89" s="14">
        <v>13675.68</v>
      </c>
      <c r="AT89" s="14">
        <v>138000</v>
      </c>
      <c r="AU89" t="s" s="10">
        <v>61</v>
      </c>
      <c r="AV89" t="s" s="10">
        <v>61</v>
      </c>
    </row>
    <row r="90" ht="13.65" customHeight="1">
      <c r="A90" t="s" s="9">
        <v>272</v>
      </c>
      <c r="B90" t="s" s="10">
        <v>49</v>
      </c>
      <c r="C90" s="11" cm="1">
        <f t="array" ref="C90">DATEVALUE("2025-05-08")</f>
        <v>45785</v>
      </c>
      <c r="D90" t="s" s="10">
        <v>260</v>
      </c>
      <c r="E90" t="s" s="10">
        <v>260</v>
      </c>
      <c r="F90" t="s" s="10">
        <v>261</v>
      </c>
      <c r="G90" t="s" s="10">
        <v>262</v>
      </c>
      <c r="H90" t="s" s="10">
        <v>71</v>
      </c>
      <c r="I90" s="12"/>
      <c r="J90" s="12"/>
      <c r="K90" t="s" s="10">
        <v>54</v>
      </c>
      <c r="L90" t="s" s="10">
        <v>55</v>
      </c>
      <c r="M90" t="s" s="10">
        <v>263</v>
      </c>
      <c r="N90" t="s" s="10">
        <v>56</v>
      </c>
      <c r="O90" t="s" s="10">
        <v>57</v>
      </c>
      <c r="P90" s="13">
        <v>4100000445</v>
      </c>
      <c r="Q90" s="12"/>
      <c r="R90" t="s" s="10">
        <v>58</v>
      </c>
      <c r="S90" s="14">
        <v>1</v>
      </c>
      <c r="T90" t="s" s="10">
        <v>65</v>
      </c>
      <c r="U90" s="14">
        <v>24</v>
      </c>
      <c r="V90" t="s" s="10">
        <v>60</v>
      </c>
      <c r="W90" s="14">
        <v>0</v>
      </c>
      <c r="X90" s="14">
        <v>138000</v>
      </c>
      <c r="Y90" s="14">
        <v>138000</v>
      </c>
      <c r="Z90" s="14">
        <v>138000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138000</v>
      </c>
      <c r="AM90" s="14">
        <v>124324.32</v>
      </c>
      <c r="AN90" s="14">
        <v>124324.32</v>
      </c>
      <c r="AO90" s="14">
        <v>0</v>
      </c>
      <c r="AP90" s="14">
        <v>124324.32</v>
      </c>
      <c r="AQ90" s="14">
        <v>0</v>
      </c>
      <c r="AR90" s="14">
        <v>124324.32</v>
      </c>
      <c r="AS90" s="14">
        <v>13675.68</v>
      </c>
      <c r="AT90" s="14">
        <v>138000</v>
      </c>
      <c r="AU90" t="s" s="10">
        <v>61</v>
      </c>
      <c r="AV90" t="s" s="10">
        <v>61</v>
      </c>
    </row>
    <row r="91" ht="13.65" customHeight="1">
      <c r="A91" t="s" s="9">
        <v>273</v>
      </c>
      <c r="B91" t="s" s="10">
        <v>49</v>
      </c>
      <c r="C91" s="11" cm="1">
        <f t="array" ref="C91">DATEVALUE("2025-05-08")</f>
        <v>45785</v>
      </c>
      <c r="D91" t="s" s="10">
        <v>260</v>
      </c>
      <c r="E91" t="s" s="10">
        <v>260</v>
      </c>
      <c r="F91" t="s" s="10">
        <v>261</v>
      </c>
      <c r="G91" t="s" s="10">
        <v>262</v>
      </c>
      <c r="H91" t="s" s="10">
        <v>71</v>
      </c>
      <c r="I91" s="12"/>
      <c r="J91" s="12"/>
      <c r="K91" t="s" s="10">
        <v>54</v>
      </c>
      <c r="L91" t="s" s="10">
        <v>55</v>
      </c>
      <c r="M91" t="s" s="10">
        <v>263</v>
      </c>
      <c r="N91" t="s" s="10">
        <v>56</v>
      </c>
      <c r="O91" t="s" s="10">
        <v>57</v>
      </c>
      <c r="P91" s="13">
        <v>4100001220</v>
      </c>
      <c r="Q91" s="12"/>
      <c r="R91" t="s" s="10">
        <v>58</v>
      </c>
      <c r="S91" s="14">
        <v>10</v>
      </c>
      <c r="T91" t="s" s="10">
        <v>274</v>
      </c>
      <c r="U91" s="14">
        <v>30</v>
      </c>
      <c r="V91" t="s" s="10">
        <v>60</v>
      </c>
      <c r="W91" s="14">
        <v>0</v>
      </c>
      <c r="X91" s="14">
        <v>5850</v>
      </c>
      <c r="Y91" s="14">
        <v>5850</v>
      </c>
      <c r="Z91" s="14">
        <v>58500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58500</v>
      </c>
      <c r="AM91" s="14">
        <v>5270.27</v>
      </c>
      <c r="AN91" s="14">
        <v>52702.7</v>
      </c>
      <c r="AO91" s="14">
        <v>0</v>
      </c>
      <c r="AP91" s="14">
        <v>52702.7</v>
      </c>
      <c r="AQ91" s="14">
        <v>0</v>
      </c>
      <c r="AR91" s="14">
        <v>52702.7</v>
      </c>
      <c r="AS91" s="14">
        <v>5797.3</v>
      </c>
      <c r="AT91" s="14">
        <v>58500</v>
      </c>
      <c r="AU91" t="s" s="10">
        <v>61</v>
      </c>
      <c r="AV91" t="s" s="10">
        <v>61</v>
      </c>
    </row>
    <row r="92" ht="13.65" customHeight="1">
      <c r="A92" t="s" s="9">
        <v>275</v>
      </c>
      <c r="B92" t="s" s="10">
        <v>49</v>
      </c>
      <c r="C92" s="11" cm="1">
        <f t="array" ref="C92">DATEVALUE("2025-05-08")</f>
        <v>45785</v>
      </c>
      <c r="D92" t="s" s="10">
        <v>260</v>
      </c>
      <c r="E92" t="s" s="10">
        <v>260</v>
      </c>
      <c r="F92" t="s" s="10">
        <v>261</v>
      </c>
      <c r="G92" t="s" s="10">
        <v>262</v>
      </c>
      <c r="H92" t="s" s="10">
        <v>71</v>
      </c>
      <c r="I92" s="12"/>
      <c r="J92" s="12"/>
      <c r="K92" t="s" s="10">
        <v>54</v>
      </c>
      <c r="L92" t="s" s="10">
        <v>55</v>
      </c>
      <c r="M92" t="s" s="10">
        <v>263</v>
      </c>
      <c r="N92" t="s" s="10">
        <v>56</v>
      </c>
      <c r="O92" t="s" s="10">
        <v>57</v>
      </c>
      <c r="P92" s="13">
        <v>4100001225</v>
      </c>
      <c r="Q92" s="12"/>
      <c r="R92" t="s" s="10">
        <v>58</v>
      </c>
      <c r="S92" s="14">
        <v>1</v>
      </c>
      <c r="T92" t="s" s="10">
        <v>59</v>
      </c>
      <c r="U92" s="14">
        <v>30</v>
      </c>
      <c r="V92" t="s" s="10">
        <v>60</v>
      </c>
      <c r="W92" s="14">
        <v>0</v>
      </c>
      <c r="X92" s="14">
        <v>58500</v>
      </c>
      <c r="Y92" s="14">
        <v>58500</v>
      </c>
      <c r="Z92" s="14">
        <v>58500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58500</v>
      </c>
      <c r="AM92" s="14">
        <v>52702.7</v>
      </c>
      <c r="AN92" s="14">
        <v>52702.7</v>
      </c>
      <c r="AO92" s="14">
        <v>0</v>
      </c>
      <c r="AP92" s="14">
        <v>52702.7</v>
      </c>
      <c r="AQ92" s="14">
        <v>0</v>
      </c>
      <c r="AR92" s="14">
        <v>52702.7</v>
      </c>
      <c r="AS92" s="14">
        <v>5797.3</v>
      </c>
      <c r="AT92" s="14">
        <v>58500</v>
      </c>
      <c r="AU92" t="s" s="10">
        <v>61</v>
      </c>
      <c r="AV92" t="s" s="10">
        <v>61</v>
      </c>
    </row>
    <row r="93" ht="13.65" customHeight="1">
      <c r="A93" t="s" s="9">
        <v>276</v>
      </c>
      <c r="B93" t="s" s="10">
        <v>49</v>
      </c>
      <c r="C93" s="11" cm="1">
        <f t="array" ref="C93">DATEVALUE("2025-05-08")</f>
        <v>45785</v>
      </c>
      <c r="D93" t="s" s="10">
        <v>260</v>
      </c>
      <c r="E93" t="s" s="10">
        <v>260</v>
      </c>
      <c r="F93" t="s" s="10">
        <v>261</v>
      </c>
      <c r="G93" t="s" s="10">
        <v>262</v>
      </c>
      <c r="H93" t="s" s="10">
        <v>71</v>
      </c>
      <c r="I93" s="12"/>
      <c r="J93" s="12"/>
      <c r="K93" t="s" s="10">
        <v>54</v>
      </c>
      <c r="L93" t="s" s="10">
        <v>55</v>
      </c>
      <c r="M93" t="s" s="10">
        <v>263</v>
      </c>
      <c r="N93" t="s" s="10">
        <v>56</v>
      </c>
      <c r="O93" t="s" s="10">
        <v>57</v>
      </c>
      <c r="P93" s="13">
        <v>41000001415</v>
      </c>
      <c r="Q93" s="12"/>
      <c r="R93" t="s" s="10">
        <v>58</v>
      </c>
      <c r="S93" s="14">
        <v>1</v>
      </c>
      <c r="T93" t="s" s="10">
        <v>59</v>
      </c>
      <c r="U93" s="14">
        <v>15</v>
      </c>
      <c r="V93" t="s" s="10">
        <v>60</v>
      </c>
      <c r="W93" s="14">
        <v>0</v>
      </c>
      <c r="X93" s="14">
        <v>30937.5</v>
      </c>
      <c r="Y93" s="14">
        <v>30937.5</v>
      </c>
      <c r="Z93" s="14">
        <v>30937.5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30937.5</v>
      </c>
      <c r="AM93" s="14">
        <v>27871.62</v>
      </c>
      <c r="AN93" s="14">
        <v>27871.62</v>
      </c>
      <c r="AO93" s="14">
        <v>0</v>
      </c>
      <c r="AP93" s="14">
        <v>27871.62</v>
      </c>
      <c r="AQ93" s="14">
        <v>0</v>
      </c>
      <c r="AR93" s="14">
        <v>27871.62</v>
      </c>
      <c r="AS93" s="14">
        <v>3065.88</v>
      </c>
      <c r="AT93" s="14">
        <v>30937.5</v>
      </c>
      <c r="AU93" t="s" s="10">
        <v>61</v>
      </c>
      <c r="AV93" t="s" s="10">
        <v>61</v>
      </c>
    </row>
    <row r="94" ht="13.65" customHeight="1">
      <c r="A94" t="s" s="9">
        <v>277</v>
      </c>
      <c r="B94" t="s" s="10">
        <v>49</v>
      </c>
      <c r="C94" s="11" cm="1">
        <f t="array" ref="C94">DATEVALUE("2025-05-08")</f>
        <v>45785</v>
      </c>
      <c r="D94" t="s" s="10">
        <v>260</v>
      </c>
      <c r="E94" t="s" s="10">
        <v>260</v>
      </c>
      <c r="F94" t="s" s="10">
        <v>261</v>
      </c>
      <c r="G94" t="s" s="10">
        <v>262</v>
      </c>
      <c r="H94" t="s" s="10">
        <v>71</v>
      </c>
      <c r="I94" s="12"/>
      <c r="J94" s="12"/>
      <c r="K94" t="s" s="10">
        <v>54</v>
      </c>
      <c r="L94" t="s" s="10">
        <v>55</v>
      </c>
      <c r="M94" t="s" s="10">
        <v>263</v>
      </c>
      <c r="N94" t="s" s="10">
        <v>56</v>
      </c>
      <c r="O94" t="s" s="10">
        <v>57</v>
      </c>
      <c r="P94" s="13">
        <v>4100000909</v>
      </c>
      <c r="Q94" s="12"/>
      <c r="R94" t="s" s="10">
        <v>58</v>
      </c>
      <c r="S94" s="14">
        <v>1</v>
      </c>
      <c r="T94" t="s" s="10">
        <v>65</v>
      </c>
      <c r="U94" s="14">
        <v>16</v>
      </c>
      <c r="V94" t="s" s="10">
        <v>60</v>
      </c>
      <c r="W94" s="14">
        <v>0</v>
      </c>
      <c r="X94" s="14">
        <v>132000</v>
      </c>
      <c r="Y94" s="14">
        <v>132000</v>
      </c>
      <c r="Z94" s="14">
        <v>132000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132000</v>
      </c>
      <c r="AM94" s="14">
        <v>118918.92</v>
      </c>
      <c r="AN94" s="14">
        <v>118918.92</v>
      </c>
      <c r="AO94" s="14">
        <v>0</v>
      </c>
      <c r="AP94" s="14">
        <v>118918.92</v>
      </c>
      <c r="AQ94" s="14">
        <v>0</v>
      </c>
      <c r="AR94" s="14">
        <v>118918.92</v>
      </c>
      <c r="AS94" s="14">
        <v>13081.08</v>
      </c>
      <c r="AT94" s="14">
        <v>132000</v>
      </c>
      <c r="AU94" t="s" s="10">
        <v>61</v>
      </c>
      <c r="AV94" t="s" s="10">
        <v>61</v>
      </c>
    </row>
    <row r="95" ht="13.65" customHeight="1">
      <c r="A95" t="s" s="9">
        <v>278</v>
      </c>
      <c r="B95" t="s" s="10">
        <v>49</v>
      </c>
      <c r="C95" s="11" cm="1">
        <f t="array" ref="C95">DATEVALUE("2025-05-08")</f>
        <v>45785</v>
      </c>
      <c r="D95" t="s" s="10">
        <v>260</v>
      </c>
      <c r="E95" t="s" s="10">
        <v>260</v>
      </c>
      <c r="F95" t="s" s="10">
        <v>261</v>
      </c>
      <c r="G95" t="s" s="10">
        <v>262</v>
      </c>
      <c r="H95" t="s" s="10">
        <v>71</v>
      </c>
      <c r="I95" s="12"/>
      <c r="J95" s="12"/>
      <c r="K95" t="s" s="10">
        <v>54</v>
      </c>
      <c r="L95" t="s" s="10">
        <v>55</v>
      </c>
      <c r="M95" t="s" s="10">
        <v>263</v>
      </c>
      <c r="N95" t="s" s="10">
        <v>56</v>
      </c>
      <c r="O95" t="s" s="10">
        <v>57</v>
      </c>
      <c r="P95" s="13">
        <v>4100000920</v>
      </c>
      <c r="Q95" s="12"/>
      <c r="R95" t="s" s="10">
        <v>58</v>
      </c>
      <c r="S95" s="14">
        <v>1</v>
      </c>
      <c r="T95" t="s" s="10">
        <v>65</v>
      </c>
      <c r="U95" s="14">
        <v>16</v>
      </c>
      <c r="V95" t="s" s="10">
        <v>60</v>
      </c>
      <c r="W95" s="14">
        <v>0</v>
      </c>
      <c r="X95" s="14">
        <v>132000</v>
      </c>
      <c r="Y95" s="14">
        <v>132000</v>
      </c>
      <c r="Z95" s="14">
        <v>132000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132000</v>
      </c>
      <c r="AM95" s="14">
        <v>118918.92</v>
      </c>
      <c r="AN95" s="14">
        <v>118918.92</v>
      </c>
      <c r="AO95" s="14">
        <v>0</v>
      </c>
      <c r="AP95" s="14">
        <v>118918.92</v>
      </c>
      <c r="AQ95" s="14">
        <v>0</v>
      </c>
      <c r="AR95" s="14">
        <v>118918.92</v>
      </c>
      <c r="AS95" s="14">
        <v>13081.08</v>
      </c>
      <c r="AT95" s="14">
        <v>132000</v>
      </c>
      <c r="AU95" t="s" s="10">
        <v>61</v>
      </c>
      <c r="AV95" t="s" s="10">
        <v>61</v>
      </c>
    </row>
    <row r="96" ht="13.65" customHeight="1">
      <c r="A96" t="s" s="9">
        <v>279</v>
      </c>
      <c r="B96" t="s" s="10">
        <v>49</v>
      </c>
      <c r="C96" s="11" cm="1">
        <f t="array" ref="C96">DATEVALUE("2025-05-08")</f>
        <v>45785</v>
      </c>
      <c r="D96" t="s" s="10">
        <v>260</v>
      </c>
      <c r="E96" t="s" s="10">
        <v>260</v>
      </c>
      <c r="F96" t="s" s="10">
        <v>261</v>
      </c>
      <c r="G96" t="s" s="10">
        <v>262</v>
      </c>
      <c r="H96" t="s" s="10">
        <v>71</v>
      </c>
      <c r="I96" s="12"/>
      <c r="J96" s="12"/>
      <c r="K96" t="s" s="10">
        <v>54</v>
      </c>
      <c r="L96" t="s" s="10">
        <v>55</v>
      </c>
      <c r="M96" t="s" s="10">
        <v>263</v>
      </c>
      <c r="N96" t="s" s="10">
        <v>56</v>
      </c>
      <c r="O96" t="s" s="10">
        <v>57</v>
      </c>
      <c r="P96" s="13">
        <v>4100001284</v>
      </c>
      <c r="Q96" s="12"/>
      <c r="R96" t="s" s="10">
        <v>58</v>
      </c>
      <c r="S96" s="14">
        <v>1</v>
      </c>
      <c r="T96" t="s" s="10">
        <v>65</v>
      </c>
      <c r="U96" s="14">
        <v>24</v>
      </c>
      <c r="V96" t="s" s="10">
        <v>60</v>
      </c>
      <c r="W96" s="14">
        <v>0</v>
      </c>
      <c r="X96" s="14">
        <v>111600</v>
      </c>
      <c r="Y96" s="14">
        <v>111600</v>
      </c>
      <c r="Z96" s="14">
        <v>111600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111600</v>
      </c>
      <c r="AM96" s="14">
        <v>100540.54</v>
      </c>
      <c r="AN96" s="14">
        <v>100540.54</v>
      </c>
      <c r="AO96" s="14">
        <v>0</v>
      </c>
      <c r="AP96" s="14">
        <v>100540.54</v>
      </c>
      <c r="AQ96" s="14">
        <v>0</v>
      </c>
      <c r="AR96" s="14">
        <v>100540.54</v>
      </c>
      <c r="AS96" s="14">
        <v>11059.46</v>
      </c>
      <c r="AT96" s="14">
        <v>111600</v>
      </c>
      <c r="AU96" t="s" s="10">
        <v>61</v>
      </c>
      <c r="AV96" t="s" s="10">
        <v>61</v>
      </c>
    </row>
    <row r="97" ht="13.65" customHeight="1">
      <c r="A97" t="s" s="9">
        <v>280</v>
      </c>
      <c r="B97" t="s" s="10">
        <v>49</v>
      </c>
      <c r="C97" s="11" cm="1">
        <f t="array" ref="C97">DATEVALUE("2025-05-08")</f>
        <v>45785</v>
      </c>
      <c r="D97" t="s" s="10">
        <v>260</v>
      </c>
      <c r="E97" t="s" s="10">
        <v>260</v>
      </c>
      <c r="F97" t="s" s="10">
        <v>261</v>
      </c>
      <c r="G97" t="s" s="10">
        <v>262</v>
      </c>
      <c r="H97" t="s" s="10">
        <v>71</v>
      </c>
      <c r="I97" s="12"/>
      <c r="J97" s="12"/>
      <c r="K97" t="s" s="10">
        <v>54</v>
      </c>
      <c r="L97" t="s" s="10">
        <v>55</v>
      </c>
      <c r="M97" t="s" s="10">
        <v>263</v>
      </c>
      <c r="N97" t="s" s="10">
        <v>56</v>
      </c>
      <c r="O97" t="s" s="10">
        <v>57</v>
      </c>
      <c r="P97" s="13">
        <v>4100001278</v>
      </c>
      <c r="Q97" s="12"/>
      <c r="R97" t="s" s="10">
        <v>58</v>
      </c>
      <c r="S97" s="14">
        <v>1</v>
      </c>
      <c r="T97" t="s" s="10">
        <v>65</v>
      </c>
      <c r="U97" s="14">
        <v>24</v>
      </c>
      <c r="V97" t="s" s="10">
        <v>60</v>
      </c>
      <c r="W97" s="14">
        <v>0</v>
      </c>
      <c r="X97" s="14">
        <v>127800</v>
      </c>
      <c r="Y97" s="14">
        <v>127800</v>
      </c>
      <c r="Z97" s="14">
        <v>127800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127800</v>
      </c>
      <c r="AM97" s="14">
        <v>115135.14</v>
      </c>
      <c r="AN97" s="14">
        <v>115135.14</v>
      </c>
      <c r="AO97" s="14">
        <v>0</v>
      </c>
      <c r="AP97" s="14">
        <v>115135.14</v>
      </c>
      <c r="AQ97" s="14">
        <v>0</v>
      </c>
      <c r="AR97" s="14">
        <v>115135.14</v>
      </c>
      <c r="AS97" s="14">
        <v>12664.86</v>
      </c>
      <c r="AT97" s="14">
        <v>127800</v>
      </c>
      <c r="AU97" t="s" s="10">
        <v>61</v>
      </c>
      <c r="AV97" t="s" s="10">
        <v>61</v>
      </c>
    </row>
    <row r="98" ht="13.65" customHeight="1">
      <c r="A98" t="s" s="9">
        <v>281</v>
      </c>
      <c r="B98" t="s" s="10">
        <v>49</v>
      </c>
      <c r="C98" s="11" cm="1">
        <f t="array" ref="C98">DATEVALUE("2025-05-08")</f>
        <v>45785</v>
      </c>
      <c r="D98" t="s" s="10">
        <v>282</v>
      </c>
      <c r="E98" t="s" s="10">
        <v>282</v>
      </c>
      <c r="F98" t="s" s="10">
        <v>261</v>
      </c>
      <c r="G98" t="s" s="10">
        <v>262</v>
      </c>
      <c r="H98" t="s" s="10">
        <v>71</v>
      </c>
      <c r="I98" s="12"/>
      <c r="J98" s="12"/>
      <c r="K98" t="s" s="10">
        <v>54</v>
      </c>
      <c r="L98" t="s" s="10">
        <v>55</v>
      </c>
      <c r="M98" t="s" s="10">
        <v>283</v>
      </c>
      <c r="N98" t="s" s="10">
        <v>56</v>
      </c>
      <c r="O98" t="s" s="10">
        <v>57</v>
      </c>
      <c r="P98" s="13">
        <v>4100001284</v>
      </c>
      <c r="Q98" s="12"/>
      <c r="R98" t="s" s="10">
        <v>58</v>
      </c>
      <c r="S98" s="14">
        <v>1</v>
      </c>
      <c r="T98" t="s" s="10">
        <v>65</v>
      </c>
      <c r="U98" s="14">
        <v>24</v>
      </c>
      <c r="V98" t="s" s="10">
        <v>60</v>
      </c>
      <c r="W98" s="14">
        <v>0</v>
      </c>
      <c r="X98" s="14">
        <v>111600</v>
      </c>
      <c r="Y98" s="14">
        <v>111600</v>
      </c>
      <c r="Z98" s="14">
        <v>111600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111600</v>
      </c>
      <c r="AM98" s="14">
        <v>100540.54</v>
      </c>
      <c r="AN98" s="14">
        <v>100540.54</v>
      </c>
      <c r="AO98" s="14">
        <v>0</v>
      </c>
      <c r="AP98" s="14">
        <v>100540.54</v>
      </c>
      <c r="AQ98" s="14">
        <v>0</v>
      </c>
      <c r="AR98" s="14">
        <v>100540.54</v>
      </c>
      <c r="AS98" s="14">
        <v>11059.46</v>
      </c>
      <c r="AT98" s="14">
        <v>111600</v>
      </c>
      <c r="AU98" t="s" s="10">
        <v>61</v>
      </c>
      <c r="AV98" t="s" s="10">
        <v>61</v>
      </c>
    </row>
    <row r="99" ht="13.65" customHeight="1">
      <c r="A99" t="s" s="9">
        <v>284</v>
      </c>
      <c r="B99" t="s" s="10">
        <v>49</v>
      </c>
      <c r="C99" s="11" cm="1">
        <f t="array" ref="C99">DATEVALUE("2025-05-08")</f>
        <v>45785</v>
      </c>
      <c r="D99" t="s" s="10">
        <v>282</v>
      </c>
      <c r="E99" t="s" s="10">
        <v>282</v>
      </c>
      <c r="F99" t="s" s="10">
        <v>261</v>
      </c>
      <c r="G99" t="s" s="10">
        <v>262</v>
      </c>
      <c r="H99" t="s" s="10">
        <v>71</v>
      </c>
      <c r="I99" s="12"/>
      <c r="J99" s="12"/>
      <c r="K99" t="s" s="10">
        <v>54</v>
      </c>
      <c r="L99" t="s" s="10">
        <v>55</v>
      </c>
      <c r="M99" t="s" s="10">
        <v>283</v>
      </c>
      <c r="N99" t="s" s="10">
        <v>56</v>
      </c>
      <c r="O99" t="s" s="10">
        <v>57</v>
      </c>
      <c r="P99" s="13">
        <v>4100000920</v>
      </c>
      <c r="Q99" s="12"/>
      <c r="R99" t="s" s="10">
        <v>58</v>
      </c>
      <c r="S99" s="14">
        <v>1</v>
      </c>
      <c r="T99" t="s" s="10">
        <v>65</v>
      </c>
      <c r="U99" s="14">
        <v>16</v>
      </c>
      <c r="V99" t="s" s="10">
        <v>60</v>
      </c>
      <c r="W99" s="14">
        <v>0</v>
      </c>
      <c r="X99" s="14">
        <v>132000</v>
      </c>
      <c r="Y99" s="14">
        <v>132000</v>
      </c>
      <c r="Z99" s="14">
        <v>132000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132000</v>
      </c>
      <c r="AM99" s="14">
        <v>118918.92</v>
      </c>
      <c r="AN99" s="14">
        <v>118918.92</v>
      </c>
      <c r="AO99" s="14">
        <v>0</v>
      </c>
      <c r="AP99" s="14">
        <v>118918.92</v>
      </c>
      <c r="AQ99" s="14">
        <v>0</v>
      </c>
      <c r="AR99" s="14">
        <v>118918.92</v>
      </c>
      <c r="AS99" s="14">
        <v>13081.08</v>
      </c>
      <c r="AT99" s="14">
        <v>132000</v>
      </c>
      <c r="AU99" t="s" s="10">
        <v>61</v>
      </c>
      <c r="AV99" t="s" s="10">
        <v>61</v>
      </c>
    </row>
    <row r="100" ht="13.65" customHeight="1">
      <c r="A100" t="s" s="9">
        <v>285</v>
      </c>
      <c r="B100" t="s" s="10">
        <v>49</v>
      </c>
      <c r="C100" s="11" cm="1">
        <f t="array" ref="C100">DATEVALUE("2025-05-08")</f>
        <v>45785</v>
      </c>
      <c r="D100" t="s" s="10">
        <v>282</v>
      </c>
      <c r="E100" t="s" s="10">
        <v>282</v>
      </c>
      <c r="F100" t="s" s="10">
        <v>261</v>
      </c>
      <c r="G100" t="s" s="10">
        <v>262</v>
      </c>
      <c r="H100" t="s" s="10">
        <v>71</v>
      </c>
      <c r="I100" s="12"/>
      <c r="J100" s="12"/>
      <c r="K100" t="s" s="10">
        <v>54</v>
      </c>
      <c r="L100" t="s" s="10">
        <v>55</v>
      </c>
      <c r="M100" t="s" s="10">
        <v>283</v>
      </c>
      <c r="N100" t="s" s="10">
        <v>56</v>
      </c>
      <c r="O100" t="s" s="10">
        <v>57</v>
      </c>
      <c r="P100" s="13">
        <v>4100000909</v>
      </c>
      <c r="Q100" s="12"/>
      <c r="R100" t="s" s="10">
        <v>58</v>
      </c>
      <c r="S100" s="14">
        <v>1</v>
      </c>
      <c r="T100" t="s" s="10">
        <v>65</v>
      </c>
      <c r="U100" s="14">
        <v>16</v>
      </c>
      <c r="V100" t="s" s="10">
        <v>60</v>
      </c>
      <c r="W100" s="14">
        <v>0</v>
      </c>
      <c r="X100" s="14">
        <v>132000</v>
      </c>
      <c r="Y100" s="14">
        <v>132000</v>
      </c>
      <c r="Z100" s="14">
        <v>132000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132000</v>
      </c>
      <c r="AM100" s="14">
        <v>118918.92</v>
      </c>
      <c r="AN100" s="14">
        <v>118918.92</v>
      </c>
      <c r="AO100" s="14">
        <v>0</v>
      </c>
      <c r="AP100" s="14">
        <v>118918.92</v>
      </c>
      <c r="AQ100" s="14">
        <v>0</v>
      </c>
      <c r="AR100" s="14">
        <v>118918.92</v>
      </c>
      <c r="AS100" s="14">
        <v>13081.08</v>
      </c>
      <c r="AT100" s="14">
        <v>132000</v>
      </c>
      <c r="AU100" t="s" s="10">
        <v>61</v>
      </c>
      <c r="AV100" t="s" s="10">
        <v>61</v>
      </c>
    </row>
    <row r="101" ht="13.65" customHeight="1">
      <c r="A101" t="s" s="9">
        <v>286</v>
      </c>
      <c r="B101" t="s" s="10">
        <v>49</v>
      </c>
      <c r="C101" s="11" cm="1">
        <f t="array" ref="C101">DATEVALUE("2025-05-08")</f>
        <v>45785</v>
      </c>
      <c r="D101" t="s" s="10">
        <v>282</v>
      </c>
      <c r="E101" t="s" s="10">
        <v>282</v>
      </c>
      <c r="F101" t="s" s="10">
        <v>261</v>
      </c>
      <c r="G101" t="s" s="10">
        <v>262</v>
      </c>
      <c r="H101" t="s" s="10">
        <v>71</v>
      </c>
      <c r="I101" s="12"/>
      <c r="J101" s="12"/>
      <c r="K101" t="s" s="10">
        <v>54</v>
      </c>
      <c r="L101" t="s" s="10">
        <v>55</v>
      </c>
      <c r="M101" t="s" s="10">
        <v>283</v>
      </c>
      <c r="N101" t="s" s="10">
        <v>56</v>
      </c>
      <c r="O101" t="s" s="10">
        <v>57</v>
      </c>
      <c r="P101" s="13">
        <v>4100001278</v>
      </c>
      <c r="Q101" s="12"/>
      <c r="R101" t="s" s="10">
        <v>58</v>
      </c>
      <c r="S101" s="14">
        <v>1</v>
      </c>
      <c r="T101" t="s" s="10">
        <v>65</v>
      </c>
      <c r="U101" s="14">
        <v>24</v>
      </c>
      <c r="V101" t="s" s="10">
        <v>60</v>
      </c>
      <c r="W101" s="14">
        <v>0</v>
      </c>
      <c r="X101" s="14">
        <v>127800</v>
      </c>
      <c r="Y101" s="14">
        <v>127800</v>
      </c>
      <c r="Z101" s="14">
        <v>127800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127800</v>
      </c>
      <c r="AM101" s="14">
        <v>115135.14</v>
      </c>
      <c r="AN101" s="14">
        <v>115135.14</v>
      </c>
      <c r="AO101" s="14">
        <v>0</v>
      </c>
      <c r="AP101" s="14">
        <v>115135.14</v>
      </c>
      <c r="AQ101" s="14">
        <v>0</v>
      </c>
      <c r="AR101" s="14">
        <v>115135.14</v>
      </c>
      <c r="AS101" s="14">
        <v>12664.86</v>
      </c>
      <c r="AT101" s="14">
        <v>127800</v>
      </c>
      <c r="AU101" t="s" s="10">
        <v>61</v>
      </c>
      <c r="AV101" t="s" s="10">
        <v>61</v>
      </c>
    </row>
    <row r="102" ht="13.65" customHeight="1">
      <c r="A102" t="s" s="9">
        <v>287</v>
      </c>
      <c r="B102" t="s" s="10">
        <v>49</v>
      </c>
      <c r="C102" s="11" cm="1">
        <f t="array" ref="C102">DATEVALUE("2025-05-08")</f>
        <v>45785</v>
      </c>
      <c r="D102" t="s" s="10">
        <v>282</v>
      </c>
      <c r="E102" t="s" s="10">
        <v>282</v>
      </c>
      <c r="F102" t="s" s="10">
        <v>261</v>
      </c>
      <c r="G102" t="s" s="10">
        <v>262</v>
      </c>
      <c r="H102" t="s" s="10">
        <v>71</v>
      </c>
      <c r="I102" s="12"/>
      <c r="J102" s="12"/>
      <c r="K102" t="s" s="10">
        <v>54</v>
      </c>
      <c r="L102" t="s" s="10">
        <v>55</v>
      </c>
      <c r="M102" t="s" s="10">
        <v>283</v>
      </c>
      <c r="N102" t="s" s="10">
        <v>56</v>
      </c>
      <c r="O102" t="s" s="10">
        <v>57</v>
      </c>
      <c r="P102" s="13">
        <v>4100000442</v>
      </c>
      <c r="Q102" s="12"/>
      <c r="R102" t="s" s="10">
        <v>58</v>
      </c>
      <c r="S102" s="14">
        <v>1</v>
      </c>
      <c r="T102" t="s" s="10">
        <v>66</v>
      </c>
      <c r="U102" s="14">
        <v>1</v>
      </c>
      <c r="V102" t="s" s="10">
        <v>66</v>
      </c>
      <c r="W102" s="14">
        <v>0</v>
      </c>
      <c r="X102" s="14">
        <v>69000</v>
      </c>
      <c r="Y102" s="14">
        <v>69000</v>
      </c>
      <c r="Z102" s="14">
        <v>69000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69000</v>
      </c>
      <c r="AM102" s="14">
        <v>62162.16</v>
      </c>
      <c r="AN102" s="14">
        <v>62162.16</v>
      </c>
      <c r="AO102" s="14">
        <v>0</v>
      </c>
      <c r="AP102" s="14">
        <v>62162.16</v>
      </c>
      <c r="AQ102" s="14">
        <v>0</v>
      </c>
      <c r="AR102" s="14">
        <v>62162.16</v>
      </c>
      <c r="AS102" s="14">
        <v>6837.84</v>
      </c>
      <c r="AT102" s="14">
        <v>69000</v>
      </c>
      <c r="AU102" t="s" s="10">
        <v>61</v>
      </c>
      <c r="AV102" t="s" s="10">
        <v>61</v>
      </c>
    </row>
    <row r="103" ht="13.65" customHeight="1">
      <c r="A103" t="s" s="9">
        <v>288</v>
      </c>
      <c r="B103" t="s" s="10">
        <v>49</v>
      </c>
      <c r="C103" s="11" cm="1">
        <f t="array" ref="C103">DATEVALUE("2025-05-08")</f>
        <v>45785</v>
      </c>
      <c r="D103" t="s" s="10">
        <v>282</v>
      </c>
      <c r="E103" t="s" s="10">
        <v>282</v>
      </c>
      <c r="F103" t="s" s="10">
        <v>261</v>
      </c>
      <c r="G103" t="s" s="10">
        <v>262</v>
      </c>
      <c r="H103" t="s" s="10">
        <v>71</v>
      </c>
      <c r="I103" s="12"/>
      <c r="J103" s="12"/>
      <c r="K103" t="s" s="10">
        <v>54</v>
      </c>
      <c r="L103" t="s" s="10">
        <v>55</v>
      </c>
      <c r="M103" t="s" s="10">
        <v>283</v>
      </c>
      <c r="N103" t="s" s="10">
        <v>56</v>
      </c>
      <c r="O103" t="s" s="10">
        <v>57</v>
      </c>
      <c r="P103" s="13">
        <v>4100001396</v>
      </c>
      <c r="Q103" s="12"/>
      <c r="R103" t="s" s="10">
        <v>58</v>
      </c>
      <c r="S103" s="14">
        <v>2</v>
      </c>
      <c r="T103" t="s" s="10">
        <v>131</v>
      </c>
      <c r="U103" s="14">
        <v>24</v>
      </c>
      <c r="V103" t="s" s="10">
        <v>60</v>
      </c>
      <c r="W103" s="14">
        <v>0</v>
      </c>
      <c r="X103" s="14">
        <v>9750</v>
      </c>
      <c r="Y103" s="14">
        <v>9750</v>
      </c>
      <c r="Z103" s="14">
        <v>19500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19500</v>
      </c>
      <c r="AM103" s="14">
        <v>8783.780000000001</v>
      </c>
      <c r="AN103" s="14">
        <v>17567.57</v>
      </c>
      <c r="AO103" s="14">
        <v>0</v>
      </c>
      <c r="AP103" s="14">
        <v>17567.57</v>
      </c>
      <c r="AQ103" s="14">
        <v>0</v>
      </c>
      <c r="AR103" s="14">
        <v>17567.57</v>
      </c>
      <c r="AS103" s="14">
        <v>1932.43</v>
      </c>
      <c r="AT103" s="14">
        <v>19500</v>
      </c>
      <c r="AU103" t="s" s="10">
        <v>61</v>
      </c>
      <c r="AV103" t="s" s="10">
        <v>61</v>
      </c>
    </row>
    <row r="104" ht="13.65" customHeight="1">
      <c r="A104" t="s" s="9">
        <v>289</v>
      </c>
      <c r="B104" t="s" s="10">
        <v>49</v>
      </c>
      <c r="C104" s="11" cm="1">
        <f t="array" ref="C104">DATEVALUE("2025-05-08")</f>
        <v>45785</v>
      </c>
      <c r="D104" t="s" s="10">
        <v>282</v>
      </c>
      <c r="E104" t="s" s="10">
        <v>282</v>
      </c>
      <c r="F104" t="s" s="10">
        <v>261</v>
      </c>
      <c r="G104" t="s" s="10">
        <v>262</v>
      </c>
      <c r="H104" t="s" s="10">
        <v>71</v>
      </c>
      <c r="I104" s="12"/>
      <c r="J104" s="12"/>
      <c r="K104" t="s" s="10">
        <v>54</v>
      </c>
      <c r="L104" t="s" s="10">
        <v>55</v>
      </c>
      <c r="M104" t="s" s="10">
        <v>283</v>
      </c>
      <c r="N104" t="s" s="10">
        <v>56</v>
      </c>
      <c r="O104" t="s" s="10">
        <v>57</v>
      </c>
      <c r="P104" s="13">
        <v>4100001397</v>
      </c>
      <c r="Q104" s="12"/>
      <c r="R104" t="s" s="10">
        <v>58</v>
      </c>
      <c r="S104" s="14">
        <v>2</v>
      </c>
      <c r="T104" t="s" s="10">
        <v>131</v>
      </c>
      <c r="U104" s="14">
        <v>24</v>
      </c>
      <c r="V104" t="s" s="10">
        <v>60</v>
      </c>
      <c r="W104" s="14">
        <v>0</v>
      </c>
      <c r="X104" s="14">
        <v>9750</v>
      </c>
      <c r="Y104" s="14">
        <v>9750</v>
      </c>
      <c r="Z104" s="14">
        <v>19500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19500</v>
      </c>
      <c r="AM104" s="14">
        <v>8783.780000000001</v>
      </c>
      <c r="AN104" s="14">
        <v>17567.57</v>
      </c>
      <c r="AO104" s="14">
        <v>0</v>
      </c>
      <c r="AP104" s="14">
        <v>17567.57</v>
      </c>
      <c r="AQ104" s="14">
        <v>0</v>
      </c>
      <c r="AR104" s="14">
        <v>17567.57</v>
      </c>
      <c r="AS104" s="14">
        <v>1932.43</v>
      </c>
      <c r="AT104" s="14">
        <v>19500</v>
      </c>
      <c r="AU104" t="s" s="10">
        <v>61</v>
      </c>
      <c r="AV104" t="s" s="10">
        <v>61</v>
      </c>
    </row>
    <row r="105" ht="13.65" customHeight="1">
      <c r="A105" t="s" s="9">
        <v>290</v>
      </c>
      <c r="B105" t="s" s="10">
        <v>49</v>
      </c>
      <c r="C105" s="11" cm="1">
        <f t="array" ref="C105">DATEVALUE("2025-05-08")</f>
        <v>45785</v>
      </c>
      <c r="D105" t="s" s="10">
        <v>291</v>
      </c>
      <c r="E105" t="s" s="10">
        <v>291</v>
      </c>
      <c r="F105" t="s" s="10">
        <v>292</v>
      </c>
      <c r="G105" t="s" s="10">
        <v>293</v>
      </c>
      <c r="H105" t="s" s="10">
        <v>294</v>
      </c>
      <c r="I105" s="12"/>
      <c r="J105" s="12"/>
      <c r="K105" t="s" s="10">
        <v>54</v>
      </c>
      <c r="L105" t="s" s="10">
        <v>72</v>
      </c>
      <c r="M105" s="12"/>
      <c r="N105" t="s" s="10">
        <v>56</v>
      </c>
      <c r="O105" t="s" s="10">
        <v>57</v>
      </c>
      <c r="P105" t="s" s="10">
        <v>73</v>
      </c>
      <c r="Q105" s="12"/>
      <c r="R105" t="s" s="10">
        <v>58</v>
      </c>
      <c r="S105" s="14">
        <v>1</v>
      </c>
      <c r="T105" t="s" s="10">
        <v>65</v>
      </c>
      <c r="U105" s="14">
        <v>60</v>
      </c>
      <c r="V105" t="s" s="10">
        <v>60</v>
      </c>
      <c r="W105" s="14">
        <v>0</v>
      </c>
      <c r="X105" s="14">
        <v>102300</v>
      </c>
      <c r="Y105" s="14">
        <v>102300</v>
      </c>
      <c r="Z105" s="14">
        <v>102300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102300</v>
      </c>
      <c r="AM105" s="14">
        <v>92162.16</v>
      </c>
      <c r="AN105" s="14">
        <v>92162.16</v>
      </c>
      <c r="AO105" s="14">
        <v>0</v>
      </c>
      <c r="AP105" s="14">
        <v>92162.16</v>
      </c>
      <c r="AQ105" s="14">
        <v>0</v>
      </c>
      <c r="AR105" s="14">
        <v>92162.16</v>
      </c>
      <c r="AS105" s="14">
        <v>10137.84</v>
      </c>
      <c r="AT105" s="14">
        <v>102300</v>
      </c>
      <c r="AU105" t="s" s="10">
        <v>61</v>
      </c>
      <c r="AV105" t="s" s="10">
        <v>61</v>
      </c>
    </row>
    <row r="106" ht="13.65" customHeight="1">
      <c r="A106" t="s" s="9">
        <v>295</v>
      </c>
      <c r="B106" t="s" s="10">
        <v>49</v>
      </c>
      <c r="C106" s="11" cm="1">
        <f t="array" ref="C106">DATEVALUE("2025-05-08")</f>
        <v>45785</v>
      </c>
      <c r="D106" t="s" s="10">
        <v>291</v>
      </c>
      <c r="E106" t="s" s="10">
        <v>291</v>
      </c>
      <c r="F106" t="s" s="10">
        <v>292</v>
      </c>
      <c r="G106" t="s" s="10">
        <v>293</v>
      </c>
      <c r="H106" t="s" s="10">
        <v>294</v>
      </c>
      <c r="I106" s="12"/>
      <c r="J106" s="12"/>
      <c r="K106" t="s" s="10">
        <v>54</v>
      </c>
      <c r="L106" t="s" s="10">
        <v>72</v>
      </c>
      <c r="M106" s="12"/>
      <c r="N106" t="s" s="10">
        <v>56</v>
      </c>
      <c r="O106" t="s" s="10">
        <v>57</v>
      </c>
      <c r="P106" s="13">
        <v>4100001206</v>
      </c>
      <c r="Q106" s="12"/>
      <c r="R106" t="s" s="10">
        <v>58</v>
      </c>
      <c r="S106" s="14">
        <v>1</v>
      </c>
      <c r="T106" t="s" s="10">
        <v>65</v>
      </c>
      <c r="U106" s="14">
        <v>60</v>
      </c>
      <c r="V106" t="s" s="10">
        <v>60</v>
      </c>
      <c r="W106" s="14">
        <v>0</v>
      </c>
      <c r="X106" s="14">
        <v>102300</v>
      </c>
      <c r="Y106" s="14">
        <v>102300</v>
      </c>
      <c r="Z106" s="14">
        <v>102300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102300</v>
      </c>
      <c r="AM106" s="14">
        <v>92162.16</v>
      </c>
      <c r="AN106" s="14">
        <v>92162.16</v>
      </c>
      <c r="AO106" s="14">
        <v>0</v>
      </c>
      <c r="AP106" s="14">
        <v>92162.16</v>
      </c>
      <c r="AQ106" s="14">
        <v>0</v>
      </c>
      <c r="AR106" s="14">
        <v>92162.16</v>
      </c>
      <c r="AS106" s="14">
        <v>10137.84</v>
      </c>
      <c r="AT106" s="14">
        <v>102300</v>
      </c>
      <c r="AU106" t="s" s="10">
        <v>61</v>
      </c>
      <c r="AV106" t="s" s="10">
        <v>61</v>
      </c>
    </row>
    <row r="107" ht="13.65" customHeight="1">
      <c r="A107" t="s" s="9">
        <v>296</v>
      </c>
      <c r="B107" t="s" s="10">
        <v>49</v>
      </c>
      <c r="C107" s="11" cm="1">
        <f t="array" ref="C107">DATEVALUE("2025-05-08")</f>
        <v>45785</v>
      </c>
      <c r="D107" t="s" s="10">
        <v>291</v>
      </c>
      <c r="E107" t="s" s="10">
        <v>291</v>
      </c>
      <c r="F107" t="s" s="10">
        <v>292</v>
      </c>
      <c r="G107" t="s" s="10">
        <v>293</v>
      </c>
      <c r="H107" t="s" s="10">
        <v>294</v>
      </c>
      <c r="I107" s="12"/>
      <c r="J107" s="12"/>
      <c r="K107" t="s" s="10">
        <v>54</v>
      </c>
      <c r="L107" t="s" s="10">
        <v>72</v>
      </c>
      <c r="M107" s="12"/>
      <c r="N107" t="s" s="10">
        <v>56</v>
      </c>
      <c r="O107" t="s" s="10">
        <v>57</v>
      </c>
      <c r="P107" s="13">
        <v>41000001424</v>
      </c>
      <c r="Q107" s="12"/>
      <c r="R107" t="s" s="10">
        <v>58</v>
      </c>
      <c r="S107" s="14">
        <v>1</v>
      </c>
      <c r="T107" t="s" s="10">
        <v>119</v>
      </c>
      <c r="U107" s="14">
        <v>12</v>
      </c>
      <c r="V107" t="s" s="10">
        <v>120</v>
      </c>
      <c r="W107" s="14">
        <v>0</v>
      </c>
      <c r="X107" s="14">
        <v>90000</v>
      </c>
      <c r="Y107" s="14">
        <v>90000</v>
      </c>
      <c r="Z107" s="14">
        <v>90000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90000</v>
      </c>
      <c r="AM107" s="14">
        <v>81081.08</v>
      </c>
      <c r="AN107" s="14">
        <v>81081.08</v>
      </c>
      <c r="AO107" s="14">
        <v>0</v>
      </c>
      <c r="AP107" s="14">
        <v>81081.08</v>
      </c>
      <c r="AQ107" s="14">
        <v>0</v>
      </c>
      <c r="AR107" s="14">
        <v>81081.08</v>
      </c>
      <c r="AS107" s="14">
        <v>8918.92</v>
      </c>
      <c r="AT107" s="14">
        <v>90000</v>
      </c>
      <c r="AU107" t="s" s="10">
        <v>61</v>
      </c>
      <c r="AV107" t="s" s="10">
        <v>61</v>
      </c>
    </row>
    <row r="108" ht="13.65" customHeight="1">
      <c r="A108" t="s" s="9">
        <v>297</v>
      </c>
      <c r="B108" t="s" s="10">
        <v>49</v>
      </c>
      <c r="C108" s="11" cm="1">
        <f t="array" ref="C108">DATEVALUE("2025-05-08")</f>
        <v>45785</v>
      </c>
      <c r="D108" t="s" s="10">
        <v>291</v>
      </c>
      <c r="E108" t="s" s="10">
        <v>291</v>
      </c>
      <c r="F108" t="s" s="10">
        <v>292</v>
      </c>
      <c r="G108" t="s" s="10">
        <v>293</v>
      </c>
      <c r="H108" t="s" s="10">
        <v>294</v>
      </c>
      <c r="I108" s="12"/>
      <c r="J108" s="12"/>
      <c r="K108" t="s" s="10">
        <v>54</v>
      </c>
      <c r="L108" t="s" s="10">
        <v>72</v>
      </c>
      <c r="M108" s="12"/>
      <c r="N108" t="s" s="10">
        <v>56</v>
      </c>
      <c r="O108" t="s" s="10">
        <v>57</v>
      </c>
      <c r="P108" s="13">
        <v>4100001425</v>
      </c>
      <c r="Q108" s="12"/>
      <c r="R108" t="s" s="10">
        <v>58</v>
      </c>
      <c r="S108" s="14">
        <v>1</v>
      </c>
      <c r="T108" t="s" s="10">
        <v>66</v>
      </c>
      <c r="U108" s="14">
        <v>12</v>
      </c>
      <c r="V108" t="s" s="10">
        <v>120</v>
      </c>
      <c r="W108" s="14">
        <v>0</v>
      </c>
      <c r="X108" s="14">
        <v>100000.08</v>
      </c>
      <c r="Y108" s="14">
        <v>100000.08</v>
      </c>
      <c r="Z108" s="14">
        <v>100000.08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100000.08</v>
      </c>
      <c r="AM108" s="14">
        <v>90090.16</v>
      </c>
      <c r="AN108" s="14">
        <v>90090.16</v>
      </c>
      <c r="AO108" s="14">
        <v>0</v>
      </c>
      <c r="AP108" s="14">
        <v>90090.16</v>
      </c>
      <c r="AQ108" s="14">
        <v>0</v>
      </c>
      <c r="AR108" s="14">
        <v>90090.16</v>
      </c>
      <c r="AS108" s="14">
        <v>9909.92</v>
      </c>
      <c r="AT108" s="14">
        <v>100000.08</v>
      </c>
      <c r="AU108" t="s" s="10">
        <v>61</v>
      </c>
      <c r="AV108" t="s" s="10">
        <v>61</v>
      </c>
    </row>
    <row r="109" ht="13.65" customHeight="1">
      <c r="A109" t="s" s="9">
        <v>298</v>
      </c>
      <c r="B109" t="s" s="10">
        <v>49</v>
      </c>
      <c r="C109" s="11" cm="1">
        <f t="array" ref="C109">DATEVALUE("2025-05-08")</f>
        <v>45785</v>
      </c>
      <c r="D109" t="s" s="10">
        <v>291</v>
      </c>
      <c r="E109" t="s" s="10">
        <v>291</v>
      </c>
      <c r="F109" t="s" s="10">
        <v>292</v>
      </c>
      <c r="G109" t="s" s="10">
        <v>293</v>
      </c>
      <c r="H109" t="s" s="10">
        <v>294</v>
      </c>
      <c r="I109" s="12"/>
      <c r="J109" s="12"/>
      <c r="K109" t="s" s="10">
        <v>54</v>
      </c>
      <c r="L109" t="s" s="10">
        <v>72</v>
      </c>
      <c r="M109" s="12"/>
      <c r="N109" t="s" s="10">
        <v>56</v>
      </c>
      <c r="O109" t="s" s="10">
        <v>57</v>
      </c>
      <c r="P109" s="13">
        <v>4100001151</v>
      </c>
      <c r="Q109" s="12"/>
      <c r="R109" t="s" s="10">
        <v>58</v>
      </c>
      <c r="S109" s="14">
        <v>1</v>
      </c>
      <c r="T109" t="s" s="10">
        <v>65</v>
      </c>
      <c r="U109" s="14">
        <v>60</v>
      </c>
      <c r="V109" t="s" s="10">
        <v>60</v>
      </c>
      <c r="W109" s="14">
        <v>0</v>
      </c>
      <c r="X109" s="14">
        <v>102300</v>
      </c>
      <c r="Y109" s="14">
        <v>102300</v>
      </c>
      <c r="Z109" s="14">
        <v>102300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102300</v>
      </c>
      <c r="AM109" s="14">
        <v>92162.16</v>
      </c>
      <c r="AN109" s="14">
        <v>92162.16</v>
      </c>
      <c r="AO109" s="14">
        <v>0</v>
      </c>
      <c r="AP109" s="14">
        <v>92162.16</v>
      </c>
      <c r="AQ109" s="14">
        <v>0</v>
      </c>
      <c r="AR109" s="14">
        <v>92162.16</v>
      </c>
      <c r="AS109" s="14">
        <v>10137.84</v>
      </c>
      <c r="AT109" s="14">
        <v>102300</v>
      </c>
      <c r="AU109" t="s" s="10">
        <v>61</v>
      </c>
      <c r="AV109" t="s" s="10">
        <v>61</v>
      </c>
    </row>
    <row r="110" ht="13.65" customHeight="1">
      <c r="A110" t="s" s="9">
        <v>299</v>
      </c>
      <c r="B110" t="s" s="10">
        <v>49</v>
      </c>
      <c r="C110" s="11" cm="1">
        <f t="array" ref="C110">DATEVALUE("2025-05-09")</f>
        <v>45786</v>
      </c>
      <c r="D110" t="s" s="10">
        <v>300</v>
      </c>
      <c r="E110" t="s" s="10">
        <v>300</v>
      </c>
      <c r="F110" t="s" s="10">
        <v>301</v>
      </c>
      <c r="G110" t="s" s="10">
        <v>302</v>
      </c>
      <c r="H110" t="s" s="10">
        <v>303</v>
      </c>
      <c r="I110" s="12"/>
      <c r="J110" s="12"/>
      <c r="K110" t="s" s="10">
        <v>54</v>
      </c>
      <c r="L110" t="s" s="10">
        <v>72</v>
      </c>
      <c r="M110" s="12"/>
      <c r="N110" t="s" s="10">
        <v>56</v>
      </c>
      <c r="O110" t="s" s="10">
        <v>57</v>
      </c>
      <c r="P110" s="13">
        <v>4100001128</v>
      </c>
      <c r="Q110" s="12"/>
      <c r="R110" t="s" s="10">
        <v>58</v>
      </c>
      <c r="S110" s="14">
        <v>1</v>
      </c>
      <c r="T110" t="s" s="10">
        <v>65</v>
      </c>
      <c r="U110" s="14">
        <v>60</v>
      </c>
      <c r="V110" t="s" s="10">
        <v>60</v>
      </c>
      <c r="W110" s="14">
        <v>0</v>
      </c>
      <c r="X110" s="14">
        <v>102300</v>
      </c>
      <c r="Y110" s="14">
        <v>102300</v>
      </c>
      <c r="Z110" s="14">
        <v>102300</v>
      </c>
      <c r="AA110" s="14">
        <v>42</v>
      </c>
      <c r="AB110" s="14">
        <v>42966</v>
      </c>
      <c r="AC110" s="14">
        <v>8</v>
      </c>
      <c r="AD110" s="14">
        <v>4746.72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47712.72</v>
      </c>
      <c r="AL110" s="14">
        <v>54587.28</v>
      </c>
      <c r="AM110" s="14">
        <v>92162.16</v>
      </c>
      <c r="AN110" s="14">
        <v>92162.16</v>
      </c>
      <c r="AO110" s="14">
        <v>42984.43</v>
      </c>
      <c r="AP110" s="14">
        <v>49177.73</v>
      </c>
      <c r="AQ110" s="14">
        <v>0</v>
      </c>
      <c r="AR110" s="14">
        <v>49177.73</v>
      </c>
      <c r="AS110" s="14">
        <v>5409.55</v>
      </c>
      <c r="AT110" s="14">
        <v>54587.28</v>
      </c>
      <c r="AU110" t="s" s="10">
        <v>61</v>
      </c>
      <c r="AV110" t="s" s="10">
        <v>61</v>
      </c>
    </row>
    <row r="111" ht="13.65" customHeight="1">
      <c r="A111" t="s" s="9">
        <v>304</v>
      </c>
      <c r="B111" t="s" s="10">
        <v>49</v>
      </c>
      <c r="C111" s="11" cm="1">
        <f t="array" ref="C111">DATEVALUE("2025-05-09")</f>
        <v>45786</v>
      </c>
      <c r="D111" t="s" s="10">
        <v>305</v>
      </c>
      <c r="E111" t="s" s="10">
        <v>305</v>
      </c>
      <c r="F111" t="s" s="10">
        <v>92</v>
      </c>
      <c r="G111" t="s" s="10">
        <v>93</v>
      </c>
      <c r="H111" t="s" s="10">
        <v>94</v>
      </c>
      <c r="I111" s="12"/>
      <c r="J111" s="12"/>
      <c r="K111" t="s" s="10">
        <v>95</v>
      </c>
      <c r="L111" t="s" s="10">
        <v>55</v>
      </c>
      <c r="M111" s="12"/>
      <c r="N111" t="s" s="10">
        <v>56</v>
      </c>
      <c r="O111" t="s" s="10">
        <v>57</v>
      </c>
      <c r="P111" s="13">
        <v>4100000909</v>
      </c>
      <c r="Q111" s="12"/>
      <c r="R111" t="s" s="10">
        <v>58</v>
      </c>
      <c r="S111" s="14">
        <v>25</v>
      </c>
      <c r="T111" t="s" s="10">
        <v>65</v>
      </c>
      <c r="U111" s="14">
        <v>400</v>
      </c>
      <c r="V111" t="s" s="10">
        <v>60</v>
      </c>
      <c r="W111" s="14">
        <v>0</v>
      </c>
      <c r="X111" s="14">
        <v>132000</v>
      </c>
      <c r="Y111" s="14">
        <v>132000</v>
      </c>
      <c r="Z111" s="14">
        <v>3300000</v>
      </c>
      <c r="AA111" s="14">
        <v>15</v>
      </c>
      <c r="AB111" s="14">
        <v>19800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495000</v>
      </c>
      <c r="AL111" s="14">
        <v>2805000</v>
      </c>
      <c r="AM111" s="14">
        <v>118918.92</v>
      </c>
      <c r="AN111" s="14">
        <v>2972972.98</v>
      </c>
      <c r="AO111" s="14">
        <v>445945.95</v>
      </c>
      <c r="AP111" s="14">
        <v>2527027.03</v>
      </c>
      <c r="AQ111" s="14">
        <v>0</v>
      </c>
      <c r="AR111" s="14">
        <v>2527027.03</v>
      </c>
      <c r="AS111" s="14">
        <v>277972.97</v>
      </c>
      <c r="AT111" s="14">
        <v>2805000</v>
      </c>
      <c r="AU111" t="s" s="10">
        <v>96</v>
      </c>
      <c r="AV111" t="s" s="10">
        <v>96</v>
      </c>
    </row>
    <row r="112" ht="13.65" customHeight="1">
      <c r="A112" t="s" s="9">
        <v>306</v>
      </c>
      <c r="B112" t="s" s="10">
        <v>49</v>
      </c>
      <c r="C112" s="11" cm="1">
        <f t="array" ref="C112">DATEVALUE("2025-05-09")</f>
        <v>45786</v>
      </c>
      <c r="D112" t="s" s="10">
        <v>305</v>
      </c>
      <c r="E112" t="s" s="10">
        <v>305</v>
      </c>
      <c r="F112" t="s" s="10">
        <v>92</v>
      </c>
      <c r="G112" t="s" s="10">
        <v>93</v>
      </c>
      <c r="H112" t="s" s="10">
        <v>94</v>
      </c>
      <c r="I112" s="12"/>
      <c r="J112" s="12"/>
      <c r="K112" t="s" s="10">
        <v>95</v>
      </c>
      <c r="L112" t="s" s="10">
        <v>55</v>
      </c>
      <c r="M112" s="12"/>
      <c r="N112" t="s" s="10">
        <v>56</v>
      </c>
      <c r="O112" t="s" s="10">
        <v>57</v>
      </c>
      <c r="P112" s="13">
        <v>4100000920</v>
      </c>
      <c r="Q112" s="12"/>
      <c r="R112" t="s" s="10">
        <v>58</v>
      </c>
      <c r="S112" s="14">
        <v>16</v>
      </c>
      <c r="T112" t="s" s="10">
        <v>65</v>
      </c>
      <c r="U112" s="14">
        <v>256</v>
      </c>
      <c r="V112" t="s" s="10">
        <v>60</v>
      </c>
      <c r="W112" s="14">
        <v>0</v>
      </c>
      <c r="X112" s="14">
        <v>132000</v>
      </c>
      <c r="Y112" s="14">
        <v>132000</v>
      </c>
      <c r="Z112" s="14">
        <v>2112000</v>
      </c>
      <c r="AA112" s="14">
        <v>15</v>
      </c>
      <c r="AB112" s="14">
        <v>19800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316800</v>
      </c>
      <c r="AL112" s="14">
        <v>1795200</v>
      </c>
      <c r="AM112" s="14">
        <v>118918.92</v>
      </c>
      <c r="AN112" s="14">
        <v>1902702.71</v>
      </c>
      <c r="AO112" s="14">
        <v>285405.41</v>
      </c>
      <c r="AP112" s="14">
        <v>1617297.3</v>
      </c>
      <c r="AQ112" s="14">
        <v>0</v>
      </c>
      <c r="AR112" s="14">
        <v>1617297.3</v>
      </c>
      <c r="AS112" s="14">
        <v>177902.7</v>
      </c>
      <c r="AT112" s="14">
        <v>1795200</v>
      </c>
      <c r="AU112" t="s" s="10">
        <v>96</v>
      </c>
      <c r="AV112" t="s" s="10">
        <v>96</v>
      </c>
    </row>
    <row r="113" ht="13.65" customHeight="1">
      <c r="A113" t="s" s="9">
        <v>307</v>
      </c>
      <c r="B113" t="s" s="10">
        <v>49</v>
      </c>
      <c r="C113" s="11" cm="1">
        <f t="array" ref="C113">DATEVALUE("2025-05-09")</f>
        <v>45786</v>
      </c>
      <c r="D113" t="s" s="10">
        <v>305</v>
      </c>
      <c r="E113" t="s" s="10">
        <v>305</v>
      </c>
      <c r="F113" t="s" s="10">
        <v>92</v>
      </c>
      <c r="G113" t="s" s="10">
        <v>93</v>
      </c>
      <c r="H113" t="s" s="10">
        <v>94</v>
      </c>
      <c r="I113" s="12"/>
      <c r="J113" s="12"/>
      <c r="K113" t="s" s="10">
        <v>95</v>
      </c>
      <c r="L113" t="s" s="10">
        <v>55</v>
      </c>
      <c r="M113" s="12"/>
      <c r="N113" t="s" s="10">
        <v>56</v>
      </c>
      <c r="O113" t="s" s="10">
        <v>57</v>
      </c>
      <c r="P113" s="13">
        <v>4100001151</v>
      </c>
      <c r="Q113" s="12"/>
      <c r="R113" t="s" s="10">
        <v>58</v>
      </c>
      <c r="S113" s="14">
        <v>6</v>
      </c>
      <c r="T113" t="s" s="10">
        <v>65</v>
      </c>
      <c r="U113" s="14">
        <v>360</v>
      </c>
      <c r="V113" t="s" s="10">
        <v>60</v>
      </c>
      <c r="W113" s="14">
        <v>0</v>
      </c>
      <c r="X113" s="14">
        <v>102300</v>
      </c>
      <c r="Y113" s="14">
        <v>102300</v>
      </c>
      <c r="Z113" s="14">
        <v>613800</v>
      </c>
      <c r="AA113" s="14">
        <v>3</v>
      </c>
      <c r="AB113" s="14">
        <v>3069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18414</v>
      </c>
      <c r="AL113" s="14">
        <v>595386</v>
      </c>
      <c r="AM113" s="14">
        <v>92162.16</v>
      </c>
      <c r="AN113" s="14">
        <v>552972.97</v>
      </c>
      <c r="AO113" s="14">
        <v>16589.19</v>
      </c>
      <c r="AP113" s="14">
        <v>536383.78</v>
      </c>
      <c r="AQ113" s="14">
        <v>0</v>
      </c>
      <c r="AR113" s="14">
        <v>536383.78</v>
      </c>
      <c r="AS113" s="14">
        <v>59002.22</v>
      </c>
      <c r="AT113" s="14">
        <v>595386</v>
      </c>
      <c r="AU113" t="s" s="10">
        <v>96</v>
      </c>
      <c r="AV113" t="s" s="10">
        <v>96</v>
      </c>
    </row>
    <row r="114" ht="13.65" customHeight="1">
      <c r="A114" t="s" s="9">
        <v>308</v>
      </c>
      <c r="B114" t="s" s="10">
        <v>49</v>
      </c>
      <c r="C114" s="11" cm="1">
        <f t="array" ref="C114">DATEVALUE("2025-05-09")</f>
        <v>45786</v>
      </c>
      <c r="D114" t="s" s="10">
        <v>309</v>
      </c>
      <c r="E114" t="s" s="10">
        <v>309</v>
      </c>
      <c r="F114" t="s" s="10">
        <v>310</v>
      </c>
      <c r="G114" t="s" s="10">
        <v>311</v>
      </c>
      <c r="H114" t="s" s="10">
        <v>312</v>
      </c>
      <c r="I114" s="12"/>
      <c r="J114" s="12"/>
      <c r="K114" t="s" s="10">
        <v>54</v>
      </c>
      <c r="L114" t="s" s="10">
        <v>72</v>
      </c>
      <c r="M114" s="12"/>
      <c r="N114" t="s" s="10">
        <v>56</v>
      </c>
      <c r="O114" t="s" s="10">
        <v>57</v>
      </c>
      <c r="P114" t="s" s="10">
        <v>73</v>
      </c>
      <c r="Q114" s="12"/>
      <c r="R114" t="s" s="10">
        <v>58</v>
      </c>
      <c r="S114" s="14">
        <v>1</v>
      </c>
      <c r="T114" t="s" s="10">
        <v>65</v>
      </c>
      <c r="U114" s="14">
        <v>60</v>
      </c>
      <c r="V114" t="s" s="10">
        <v>60</v>
      </c>
      <c r="W114" s="14">
        <v>0</v>
      </c>
      <c r="X114" s="14">
        <v>102300</v>
      </c>
      <c r="Y114" s="14">
        <v>102300</v>
      </c>
      <c r="Z114" s="14">
        <v>102300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102300</v>
      </c>
      <c r="AM114" s="14">
        <v>92162.16</v>
      </c>
      <c r="AN114" s="14">
        <v>92162.16</v>
      </c>
      <c r="AO114" s="14">
        <v>0</v>
      </c>
      <c r="AP114" s="14">
        <v>92162.16</v>
      </c>
      <c r="AQ114" s="14">
        <v>0</v>
      </c>
      <c r="AR114" s="14">
        <v>92162.16</v>
      </c>
      <c r="AS114" s="14">
        <v>10137.84</v>
      </c>
      <c r="AT114" s="14">
        <v>102300</v>
      </c>
      <c r="AU114" t="s" s="10">
        <v>61</v>
      </c>
      <c r="AV114" t="s" s="10">
        <v>61</v>
      </c>
    </row>
    <row r="115" ht="13.65" customHeight="1">
      <c r="A115" t="s" s="9">
        <v>313</v>
      </c>
      <c r="B115" t="s" s="10">
        <v>49</v>
      </c>
      <c r="C115" s="11" cm="1">
        <f t="array" ref="C115">DATEVALUE("2025-05-09")</f>
        <v>45786</v>
      </c>
      <c r="D115" t="s" s="10">
        <v>314</v>
      </c>
      <c r="E115" t="s" s="10">
        <v>314</v>
      </c>
      <c r="F115" t="s" s="10">
        <v>315</v>
      </c>
      <c r="G115" t="s" s="10">
        <v>316</v>
      </c>
      <c r="H115" t="s" s="10">
        <v>71</v>
      </c>
      <c r="I115" s="12"/>
      <c r="J115" s="12"/>
      <c r="K115" t="s" s="10">
        <v>95</v>
      </c>
      <c r="L115" t="s" s="10">
        <v>72</v>
      </c>
      <c r="M115" t="s" s="10">
        <v>317</v>
      </c>
      <c r="N115" t="s" s="10">
        <v>56</v>
      </c>
      <c r="O115" t="s" s="10">
        <v>57</v>
      </c>
      <c r="P115" s="13">
        <v>4100000073</v>
      </c>
      <c r="Q115" s="12"/>
      <c r="R115" t="s" s="10">
        <v>58</v>
      </c>
      <c r="S115" s="14">
        <v>6</v>
      </c>
      <c r="T115" t="s" s="10">
        <v>152</v>
      </c>
      <c r="U115" s="14">
        <v>6</v>
      </c>
      <c r="V115" t="s" s="10">
        <v>152</v>
      </c>
      <c r="W115" s="14">
        <v>0</v>
      </c>
      <c r="X115" s="14">
        <v>8700</v>
      </c>
      <c r="Y115" s="14">
        <v>8700</v>
      </c>
      <c r="Z115" s="14">
        <v>52200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52200</v>
      </c>
      <c r="AM115" s="14">
        <v>7837.84</v>
      </c>
      <c r="AN115" s="14">
        <v>47027.03</v>
      </c>
      <c r="AO115" s="14">
        <v>0</v>
      </c>
      <c r="AP115" s="14">
        <v>47027.03</v>
      </c>
      <c r="AQ115" s="14">
        <v>0</v>
      </c>
      <c r="AR115" s="14">
        <v>47027.03</v>
      </c>
      <c r="AS115" s="14">
        <v>5172.97</v>
      </c>
      <c r="AT115" s="14">
        <v>52200</v>
      </c>
      <c r="AU115" t="s" s="10">
        <v>61</v>
      </c>
      <c r="AV115" t="s" s="10">
        <v>61</v>
      </c>
    </row>
    <row r="116" ht="13.65" customHeight="1">
      <c r="A116" t="s" s="9">
        <v>318</v>
      </c>
      <c r="B116" t="s" s="10">
        <v>49</v>
      </c>
      <c r="C116" s="11" cm="1">
        <f t="array" ref="C116">DATEVALUE("2025-05-09")</f>
        <v>45786</v>
      </c>
      <c r="D116" t="s" s="10">
        <v>319</v>
      </c>
      <c r="E116" t="s" s="10">
        <v>319</v>
      </c>
      <c r="F116" t="s" s="10">
        <v>320</v>
      </c>
      <c r="G116" t="s" s="10">
        <v>321</v>
      </c>
      <c r="H116" t="s" s="10">
        <v>322</v>
      </c>
      <c r="I116" s="12"/>
      <c r="J116" s="12"/>
      <c r="K116" t="s" s="10">
        <v>54</v>
      </c>
      <c r="L116" t="s" s="10">
        <v>72</v>
      </c>
      <c r="M116" s="12"/>
      <c r="N116" t="s" s="10">
        <v>56</v>
      </c>
      <c r="O116" t="s" s="10">
        <v>57</v>
      </c>
      <c r="P116" t="s" s="10">
        <v>102</v>
      </c>
      <c r="Q116" s="12"/>
      <c r="R116" t="s" s="10">
        <v>58</v>
      </c>
      <c r="S116" s="14">
        <v>12</v>
      </c>
      <c r="T116" t="s" s="10">
        <v>60</v>
      </c>
      <c r="U116" s="14">
        <v>12</v>
      </c>
      <c r="V116" t="s" s="10">
        <v>60</v>
      </c>
      <c r="W116" s="14">
        <v>0</v>
      </c>
      <c r="X116" s="14">
        <v>5750</v>
      </c>
      <c r="Y116" s="14">
        <v>5750</v>
      </c>
      <c r="Z116" s="14">
        <v>69000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69000</v>
      </c>
      <c r="AM116" s="14">
        <v>5180.18</v>
      </c>
      <c r="AN116" s="14">
        <v>62162.16</v>
      </c>
      <c r="AO116" s="14">
        <v>0</v>
      </c>
      <c r="AP116" s="14">
        <v>62162.16</v>
      </c>
      <c r="AQ116" s="14">
        <v>0</v>
      </c>
      <c r="AR116" s="14">
        <v>62162.16</v>
      </c>
      <c r="AS116" s="14">
        <v>6837.84</v>
      </c>
      <c r="AT116" s="14">
        <v>69000</v>
      </c>
      <c r="AU116" t="s" s="10">
        <v>61</v>
      </c>
      <c r="AV116" t="s" s="10">
        <v>61</v>
      </c>
    </row>
    <row r="117" ht="13.65" customHeight="1">
      <c r="A117" t="s" s="9">
        <v>323</v>
      </c>
      <c r="B117" t="s" s="10">
        <v>49</v>
      </c>
      <c r="C117" s="11" cm="1">
        <f t="array" ref="C117">DATEVALUE("2025-05-09")</f>
        <v>45786</v>
      </c>
      <c r="D117" t="s" s="10">
        <v>319</v>
      </c>
      <c r="E117" t="s" s="10">
        <v>319</v>
      </c>
      <c r="F117" t="s" s="10">
        <v>320</v>
      </c>
      <c r="G117" t="s" s="10">
        <v>321</v>
      </c>
      <c r="H117" t="s" s="10">
        <v>322</v>
      </c>
      <c r="I117" s="12"/>
      <c r="J117" s="12"/>
      <c r="K117" t="s" s="10">
        <v>54</v>
      </c>
      <c r="L117" t="s" s="10">
        <v>72</v>
      </c>
      <c r="M117" s="12"/>
      <c r="N117" t="s" s="10">
        <v>56</v>
      </c>
      <c r="O117" t="s" s="10">
        <v>57</v>
      </c>
      <c r="P117" t="s" s="10">
        <v>143</v>
      </c>
      <c r="Q117" s="12"/>
      <c r="R117" t="s" s="10">
        <v>58</v>
      </c>
      <c r="S117" s="14">
        <v>12</v>
      </c>
      <c r="T117" t="s" s="10">
        <v>60</v>
      </c>
      <c r="U117" s="14">
        <v>12</v>
      </c>
      <c r="V117" t="s" s="10">
        <v>60</v>
      </c>
      <c r="W117" s="14">
        <v>0</v>
      </c>
      <c r="X117" s="14">
        <v>5750</v>
      </c>
      <c r="Y117" s="14">
        <v>5750</v>
      </c>
      <c r="Z117" s="14">
        <v>69000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69000</v>
      </c>
      <c r="AM117" s="14">
        <v>5180.18</v>
      </c>
      <c r="AN117" s="14">
        <v>62162.16</v>
      </c>
      <c r="AO117" s="14">
        <v>0</v>
      </c>
      <c r="AP117" s="14">
        <v>62162.16</v>
      </c>
      <c r="AQ117" s="14">
        <v>0</v>
      </c>
      <c r="AR117" s="14">
        <v>62162.16</v>
      </c>
      <c r="AS117" s="14">
        <v>6837.84</v>
      </c>
      <c r="AT117" s="14">
        <v>69000</v>
      </c>
      <c r="AU117" t="s" s="10">
        <v>61</v>
      </c>
      <c r="AV117" t="s" s="10">
        <v>61</v>
      </c>
    </row>
    <row r="118" ht="13.65" customHeight="1">
      <c r="A118" t="s" s="9">
        <v>324</v>
      </c>
      <c r="B118" t="s" s="10">
        <v>49</v>
      </c>
      <c r="C118" s="11" cm="1">
        <f t="array" ref="C118">DATEVALUE("2025-05-09")</f>
        <v>45786</v>
      </c>
      <c r="D118" t="s" s="10">
        <v>319</v>
      </c>
      <c r="E118" t="s" s="10">
        <v>319</v>
      </c>
      <c r="F118" t="s" s="10">
        <v>320</v>
      </c>
      <c r="G118" t="s" s="10">
        <v>321</v>
      </c>
      <c r="H118" t="s" s="10">
        <v>322</v>
      </c>
      <c r="I118" s="12"/>
      <c r="J118" s="12"/>
      <c r="K118" t="s" s="10">
        <v>54</v>
      </c>
      <c r="L118" t="s" s="10">
        <v>72</v>
      </c>
      <c r="M118" s="12"/>
      <c r="N118" t="s" s="10">
        <v>56</v>
      </c>
      <c r="O118" t="s" s="10">
        <v>57</v>
      </c>
      <c r="P118" s="13">
        <v>4100000056</v>
      </c>
      <c r="Q118" s="12"/>
      <c r="R118" t="s" s="10">
        <v>58</v>
      </c>
      <c r="S118" s="14">
        <v>6</v>
      </c>
      <c r="T118" t="s" s="10">
        <v>152</v>
      </c>
      <c r="U118" s="14">
        <v>6</v>
      </c>
      <c r="V118" t="s" s="10">
        <v>152</v>
      </c>
      <c r="W118" s="14">
        <v>0</v>
      </c>
      <c r="X118" s="14">
        <v>8700</v>
      </c>
      <c r="Y118" s="14">
        <v>8700</v>
      </c>
      <c r="Z118" s="14">
        <v>52200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52200</v>
      </c>
      <c r="AM118" s="14">
        <v>7837.84</v>
      </c>
      <c r="AN118" s="14">
        <v>47027.03</v>
      </c>
      <c r="AO118" s="14">
        <v>0</v>
      </c>
      <c r="AP118" s="14">
        <v>47027.03</v>
      </c>
      <c r="AQ118" s="14">
        <v>0</v>
      </c>
      <c r="AR118" s="14">
        <v>47027.03</v>
      </c>
      <c r="AS118" s="14">
        <v>5172.97</v>
      </c>
      <c r="AT118" s="14">
        <v>52200</v>
      </c>
      <c r="AU118" t="s" s="10">
        <v>61</v>
      </c>
      <c r="AV118" t="s" s="10">
        <v>61</v>
      </c>
    </row>
    <row r="119" ht="13.65" customHeight="1">
      <c r="A119" t="s" s="9">
        <v>325</v>
      </c>
      <c r="B119" t="s" s="10">
        <v>49</v>
      </c>
      <c r="C119" s="11" cm="1">
        <f t="array" ref="C119">DATEVALUE("2025-05-09")</f>
        <v>45786</v>
      </c>
      <c r="D119" t="s" s="10">
        <v>319</v>
      </c>
      <c r="E119" t="s" s="10">
        <v>319</v>
      </c>
      <c r="F119" t="s" s="10">
        <v>320</v>
      </c>
      <c r="G119" t="s" s="10">
        <v>321</v>
      </c>
      <c r="H119" t="s" s="10">
        <v>322</v>
      </c>
      <c r="I119" s="12"/>
      <c r="J119" s="12"/>
      <c r="K119" t="s" s="10">
        <v>54</v>
      </c>
      <c r="L119" t="s" s="10">
        <v>72</v>
      </c>
      <c r="M119" s="12"/>
      <c r="N119" t="s" s="10">
        <v>56</v>
      </c>
      <c r="O119" t="s" s="10">
        <v>57</v>
      </c>
      <c r="P119" s="13">
        <v>4100000804</v>
      </c>
      <c r="Q119" s="12"/>
      <c r="R119" t="s" s="10">
        <v>58</v>
      </c>
      <c r="S119" s="14">
        <v>1</v>
      </c>
      <c r="T119" t="s" s="10">
        <v>65</v>
      </c>
      <c r="U119" s="14">
        <v>240</v>
      </c>
      <c r="V119" t="s" s="10">
        <v>60</v>
      </c>
      <c r="W119" s="14">
        <v>0</v>
      </c>
      <c r="X119" s="14">
        <v>214512</v>
      </c>
      <c r="Y119" s="14">
        <v>214512</v>
      </c>
      <c r="Z119" s="14">
        <v>214512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214512</v>
      </c>
      <c r="AM119" s="14">
        <v>193254.05</v>
      </c>
      <c r="AN119" s="14">
        <v>193254.05</v>
      </c>
      <c r="AO119" s="14">
        <v>0</v>
      </c>
      <c r="AP119" s="14">
        <v>193254.05</v>
      </c>
      <c r="AQ119" s="14">
        <v>0</v>
      </c>
      <c r="AR119" s="14">
        <v>193254.05</v>
      </c>
      <c r="AS119" s="14">
        <v>21257.95</v>
      </c>
      <c r="AT119" s="14">
        <v>214512</v>
      </c>
      <c r="AU119" t="s" s="10">
        <v>61</v>
      </c>
      <c r="AV119" t="s" s="10">
        <v>61</v>
      </c>
    </row>
    <row r="120" ht="13.65" customHeight="1">
      <c r="A120" t="s" s="9">
        <v>326</v>
      </c>
      <c r="B120" t="s" s="10">
        <v>49</v>
      </c>
      <c r="C120" s="11" cm="1">
        <f t="array" ref="C120">DATEVALUE("2025-05-09")</f>
        <v>45786</v>
      </c>
      <c r="D120" t="s" s="10">
        <v>319</v>
      </c>
      <c r="E120" t="s" s="10">
        <v>319</v>
      </c>
      <c r="F120" t="s" s="10">
        <v>320</v>
      </c>
      <c r="G120" t="s" s="10">
        <v>321</v>
      </c>
      <c r="H120" t="s" s="10">
        <v>322</v>
      </c>
      <c r="I120" s="12"/>
      <c r="J120" s="12"/>
      <c r="K120" t="s" s="10">
        <v>54</v>
      </c>
      <c r="L120" t="s" s="10">
        <v>72</v>
      </c>
      <c r="M120" s="12"/>
      <c r="N120" t="s" s="10">
        <v>56</v>
      </c>
      <c r="O120" t="s" s="10">
        <v>57</v>
      </c>
      <c r="P120" s="13">
        <v>4100000073</v>
      </c>
      <c r="Q120" s="12"/>
      <c r="R120" t="s" s="10">
        <v>58</v>
      </c>
      <c r="S120" s="14">
        <v>6</v>
      </c>
      <c r="T120" t="s" s="10">
        <v>152</v>
      </c>
      <c r="U120" s="14">
        <v>6</v>
      </c>
      <c r="V120" t="s" s="10">
        <v>152</v>
      </c>
      <c r="W120" s="14">
        <v>0</v>
      </c>
      <c r="X120" s="14">
        <v>8700</v>
      </c>
      <c r="Y120" s="14">
        <v>8700</v>
      </c>
      <c r="Z120" s="14">
        <v>52200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52200</v>
      </c>
      <c r="AM120" s="14">
        <v>7837.84</v>
      </c>
      <c r="AN120" s="14">
        <v>47027.03</v>
      </c>
      <c r="AO120" s="14">
        <v>0</v>
      </c>
      <c r="AP120" s="14">
        <v>47027.03</v>
      </c>
      <c r="AQ120" s="14">
        <v>0</v>
      </c>
      <c r="AR120" s="14">
        <v>47027.03</v>
      </c>
      <c r="AS120" s="14">
        <v>5172.97</v>
      </c>
      <c r="AT120" s="14">
        <v>52200</v>
      </c>
      <c r="AU120" t="s" s="10">
        <v>61</v>
      </c>
      <c r="AV120" t="s" s="10">
        <v>61</v>
      </c>
    </row>
    <row r="121" ht="13.65" customHeight="1">
      <c r="A121" t="s" s="9">
        <v>327</v>
      </c>
      <c r="B121" t="s" s="10">
        <v>49</v>
      </c>
      <c r="C121" s="11" cm="1">
        <f t="array" ref="C121">DATEVALUE("2025-05-09")</f>
        <v>45786</v>
      </c>
      <c r="D121" t="s" s="10">
        <v>328</v>
      </c>
      <c r="E121" t="s" s="10">
        <v>328</v>
      </c>
      <c r="F121" t="s" s="10">
        <v>329</v>
      </c>
      <c r="G121" t="s" s="10">
        <v>330</v>
      </c>
      <c r="H121" t="s" s="10">
        <v>331</v>
      </c>
      <c r="I121" s="12"/>
      <c r="J121" s="12"/>
      <c r="K121" t="s" s="10">
        <v>54</v>
      </c>
      <c r="L121" t="s" s="10">
        <v>72</v>
      </c>
      <c r="M121" s="12"/>
      <c r="N121" t="s" s="10">
        <v>56</v>
      </c>
      <c r="O121" t="s" s="10">
        <v>57</v>
      </c>
      <c r="P121" t="s" s="10">
        <v>73</v>
      </c>
      <c r="Q121" s="12"/>
      <c r="R121" t="s" s="10">
        <v>58</v>
      </c>
      <c r="S121" s="14">
        <v>2</v>
      </c>
      <c r="T121" t="s" s="10">
        <v>65</v>
      </c>
      <c r="U121" s="14">
        <v>120</v>
      </c>
      <c r="V121" t="s" s="10">
        <v>60</v>
      </c>
      <c r="W121" s="14">
        <v>0</v>
      </c>
      <c r="X121" s="14">
        <v>102300</v>
      </c>
      <c r="Y121" s="14">
        <v>102300</v>
      </c>
      <c r="Z121" s="14">
        <v>204600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204600</v>
      </c>
      <c r="AM121" s="14">
        <v>92162.16</v>
      </c>
      <c r="AN121" s="14">
        <v>184324.32</v>
      </c>
      <c r="AO121" s="14">
        <v>0</v>
      </c>
      <c r="AP121" s="14">
        <v>184324.32</v>
      </c>
      <c r="AQ121" s="14">
        <v>0</v>
      </c>
      <c r="AR121" s="14">
        <v>184324.32</v>
      </c>
      <c r="AS121" s="14">
        <v>20275.68</v>
      </c>
      <c r="AT121" s="14">
        <v>204600</v>
      </c>
      <c r="AU121" t="s" s="10">
        <v>61</v>
      </c>
      <c r="AV121" t="s" s="10">
        <v>61</v>
      </c>
    </row>
    <row r="122" ht="13.65" customHeight="1">
      <c r="A122" t="s" s="9">
        <v>332</v>
      </c>
      <c r="B122" t="s" s="10">
        <v>49</v>
      </c>
      <c r="C122" s="11" cm="1">
        <f t="array" ref="C122">DATEVALUE("2025-05-09")</f>
        <v>45786</v>
      </c>
      <c r="D122" t="s" s="10">
        <v>333</v>
      </c>
      <c r="E122" t="s" s="10">
        <v>333</v>
      </c>
      <c r="F122" t="s" s="10">
        <v>334</v>
      </c>
      <c r="G122" t="s" s="10">
        <v>335</v>
      </c>
      <c r="H122" t="s" s="10">
        <v>336</v>
      </c>
      <c r="I122" s="12"/>
      <c r="J122" s="12"/>
      <c r="K122" t="s" s="10">
        <v>160</v>
      </c>
      <c r="L122" t="s" s="10">
        <v>72</v>
      </c>
      <c r="M122" s="12"/>
      <c r="N122" t="s" s="10">
        <v>56</v>
      </c>
      <c r="O122" t="s" s="10">
        <v>57</v>
      </c>
      <c r="P122" s="13">
        <v>4100000575</v>
      </c>
      <c r="Q122" s="12"/>
      <c r="R122" t="s" s="10">
        <v>58</v>
      </c>
      <c r="S122" s="14">
        <v>1</v>
      </c>
      <c r="T122" t="s" s="10">
        <v>65</v>
      </c>
      <c r="U122" s="14">
        <v>12</v>
      </c>
      <c r="V122" t="s" s="10">
        <v>60</v>
      </c>
      <c r="W122" s="14">
        <v>0</v>
      </c>
      <c r="X122" s="14">
        <v>266400</v>
      </c>
      <c r="Y122" s="14">
        <v>266400</v>
      </c>
      <c r="Z122" s="14">
        <v>266400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266400</v>
      </c>
      <c r="AM122" s="14">
        <v>240000</v>
      </c>
      <c r="AN122" s="14">
        <v>240000</v>
      </c>
      <c r="AO122" s="14">
        <v>0</v>
      </c>
      <c r="AP122" s="14">
        <v>240000</v>
      </c>
      <c r="AQ122" s="14">
        <v>0</v>
      </c>
      <c r="AR122" s="14">
        <v>240000</v>
      </c>
      <c r="AS122" s="14">
        <v>26400</v>
      </c>
      <c r="AT122" s="14">
        <v>266400</v>
      </c>
      <c r="AU122" t="s" s="10">
        <v>61</v>
      </c>
      <c r="AV122" t="s" s="10">
        <v>61</v>
      </c>
    </row>
    <row r="123" ht="13.65" customHeight="1">
      <c r="A123" t="s" s="9">
        <v>337</v>
      </c>
      <c r="B123" t="s" s="10">
        <v>49</v>
      </c>
      <c r="C123" s="11" cm="1">
        <f t="array" ref="C123">DATEVALUE("2025-05-09")</f>
        <v>45786</v>
      </c>
      <c r="D123" t="s" s="10">
        <v>338</v>
      </c>
      <c r="E123" t="s" s="10">
        <v>338</v>
      </c>
      <c r="F123" t="s" s="10">
        <v>339</v>
      </c>
      <c r="G123" t="s" s="10">
        <v>340</v>
      </c>
      <c r="H123" t="s" s="10">
        <v>341</v>
      </c>
      <c r="I123" s="12"/>
      <c r="J123" s="12"/>
      <c r="K123" t="s" s="10">
        <v>54</v>
      </c>
      <c r="L123" t="s" s="10">
        <v>55</v>
      </c>
      <c r="M123" s="12"/>
      <c r="N123" t="s" s="10">
        <v>56</v>
      </c>
      <c r="O123" t="s" s="10">
        <v>57</v>
      </c>
      <c r="P123" s="13">
        <v>4100000450</v>
      </c>
      <c r="Q123" s="12"/>
      <c r="R123" t="s" s="10">
        <v>58</v>
      </c>
      <c r="S123" s="14">
        <v>3</v>
      </c>
      <c r="T123" t="s" s="10">
        <v>65</v>
      </c>
      <c r="U123" s="14">
        <v>36</v>
      </c>
      <c r="V123" t="s" s="10">
        <v>60</v>
      </c>
      <c r="W123" s="14">
        <v>0</v>
      </c>
      <c r="X123" s="14">
        <v>276000</v>
      </c>
      <c r="Y123" s="14">
        <v>276000</v>
      </c>
      <c r="Z123" s="14">
        <v>828000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828000</v>
      </c>
      <c r="AM123" s="14">
        <v>248648.65</v>
      </c>
      <c r="AN123" s="14">
        <v>745945.95</v>
      </c>
      <c r="AO123" s="14">
        <v>0</v>
      </c>
      <c r="AP123" s="14">
        <v>745945.95</v>
      </c>
      <c r="AQ123" s="14">
        <v>0</v>
      </c>
      <c r="AR123" s="14">
        <v>745945.95</v>
      </c>
      <c r="AS123" s="14">
        <v>82054.05</v>
      </c>
      <c r="AT123" s="14">
        <v>828000</v>
      </c>
      <c r="AU123" t="s" s="10">
        <v>61</v>
      </c>
      <c r="AV123" t="s" s="10">
        <v>61</v>
      </c>
    </row>
    <row r="124" ht="13.65" customHeight="1">
      <c r="A124" t="s" s="9">
        <v>342</v>
      </c>
      <c r="B124" t="s" s="10">
        <v>49</v>
      </c>
      <c r="C124" s="11" cm="1">
        <f t="array" ref="C124">DATEVALUE("2025-05-09")</f>
        <v>45786</v>
      </c>
      <c r="D124" t="s" s="10">
        <v>343</v>
      </c>
      <c r="E124" t="s" s="10">
        <v>343</v>
      </c>
      <c r="F124" t="s" s="10">
        <v>206</v>
      </c>
      <c r="G124" t="s" s="10">
        <v>207</v>
      </c>
      <c r="H124" t="s" s="10">
        <v>208</v>
      </c>
      <c r="I124" s="12"/>
      <c r="J124" s="12"/>
      <c r="K124" t="s" s="10">
        <v>95</v>
      </c>
      <c r="L124" t="s" s="10">
        <v>55</v>
      </c>
      <c r="M124" s="12"/>
      <c r="N124" t="s" s="10">
        <v>56</v>
      </c>
      <c r="O124" t="s" s="10">
        <v>57</v>
      </c>
      <c r="P124" s="13">
        <v>4100000894</v>
      </c>
      <c r="Q124" s="12"/>
      <c r="R124" t="s" s="10">
        <v>58</v>
      </c>
      <c r="S124" s="14">
        <v>3</v>
      </c>
      <c r="T124" t="s" s="10">
        <v>65</v>
      </c>
      <c r="U124" s="14">
        <v>144</v>
      </c>
      <c r="V124" t="s" s="10">
        <v>60</v>
      </c>
      <c r="W124" s="14">
        <v>0</v>
      </c>
      <c r="X124" s="14">
        <v>254400</v>
      </c>
      <c r="Y124" s="14">
        <v>254400</v>
      </c>
      <c r="Z124" s="14">
        <v>763200</v>
      </c>
      <c r="AA124" s="14">
        <v>2</v>
      </c>
      <c r="AB124" s="14">
        <v>5088</v>
      </c>
      <c r="AC124" s="14">
        <v>2.5</v>
      </c>
      <c r="AD124" s="14">
        <v>6232.8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33962.4</v>
      </c>
      <c r="AL124" s="14">
        <v>729237.6</v>
      </c>
      <c r="AM124" s="14">
        <v>229189.19</v>
      </c>
      <c r="AN124" s="14">
        <v>687567.5699999999</v>
      </c>
      <c r="AO124" s="14">
        <v>30596.76</v>
      </c>
      <c r="AP124" s="14">
        <v>656970.8100000001</v>
      </c>
      <c r="AQ124" s="14">
        <v>0</v>
      </c>
      <c r="AR124" s="14">
        <v>656970.8100000001</v>
      </c>
      <c r="AS124" s="14">
        <v>72266.789999999994</v>
      </c>
      <c r="AT124" s="14">
        <v>729237.6</v>
      </c>
      <c r="AU124" t="s" s="10">
        <v>61</v>
      </c>
      <c r="AV124" t="s" s="10">
        <v>61</v>
      </c>
    </row>
    <row r="125" ht="13.65" customHeight="1">
      <c r="A125" t="s" s="9">
        <v>344</v>
      </c>
      <c r="B125" t="s" s="10">
        <v>49</v>
      </c>
      <c r="C125" s="11" cm="1">
        <f t="array" ref="C125">DATEVALUE("2025-05-09")</f>
        <v>45786</v>
      </c>
      <c r="D125" t="s" s="10">
        <v>343</v>
      </c>
      <c r="E125" t="s" s="10">
        <v>343</v>
      </c>
      <c r="F125" t="s" s="10">
        <v>206</v>
      </c>
      <c r="G125" t="s" s="10">
        <v>207</v>
      </c>
      <c r="H125" t="s" s="10">
        <v>208</v>
      </c>
      <c r="I125" s="12"/>
      <c r="J125" s="12"/>
      <c r="K125" t="s" s="10">
        <v>95</v>
      </c>
      <c r="L125" t="s" s="10">
        <v>55</v>
      </c>
      <c r="M125" s="12"/>
      <c r="N125" t="s" s="10">
        <v>56</v>
      </c>
      <c r="O125" t="s" s="10">
        <v>57</v>
      </c>
      <c r="P125" s="13">
        <v>4100001242</v>
      </c>
      <c r="Q125" s="12"/>
      <c r="R125" t="s" s="10">
        <v>58</v>
      </c>
      <c r="S125" s="14">
        <v>6</v>
      </c>
      <c r="T125" t="s" s="10">
        <v>65</v>
      </c>
      <c r="U125" s="14">
        <v>144</v>
      </c>
      <c r="V125" t="s" s="10">
        <v>60</v>
      </c>
      <c r="W125" s="14">
        <v>0</v>
      </c>
      <c r="X125" s="14">
        <v>112907.04</v>
      </c>
      <c r="Y125" s="14">
        <v>118800</v>
      </c>
      <c r="Z125" s="14">
        <v>712800</v>
      </c>
      <c r="AA125" s="14">
        <v>2</v>
      </c>
      <c r="AB125" s="14">
        <v>2376</v>
      </c>
      <c r="AC125" s="14">
        <v>2.5</v>
      </c>
      <c r="AD125" s="14">
        <v>2910.6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31719.6</v>
      </c>
      <c r="AL125" s="14">
        <v>681080.4</v>
      </c>
      <c r="AM125" s="14">
        <v>107027.03</v>
      </c>
      <c r="AN125" s="14">
        <v>642162.17</v>
      </c>
      <c r="AO125" s="14">
        <v>28576.22</v>
      </c>
      <c r="AP125" s="14">
        <v>613585.95</v>
      </c>
      <c r="AQ125" s="14">
        <v>0</v>
      </c>
      <c r="AR125" s="14">
        <v>613585.95</v>
      </c>
      <c r="AS125" s="14">
        <v>67494.45</v>
      </c>
      <c r="AT125" s="14">
        <v>681080.4</v>
      </c>
      <c r="AU125" t="s" s="10">
        <v>61</v>
      </c>
      <c r="AV125" t="s" s="10">
        <v>61</v>
      </c>
    </row>
    <row r="126" ht="13.65" customHeight="1">
      <c r="A126" t="s" s="9">
        <v>345</v>
      </c>
      <c r="B126" t="s" s="10">
        <v>49</v>
      </c>
      <c r="C126" s="11" cm="1">
        <f t="array" ref="C126">DATEVALUE("2025-05-09")</f>
        <v>45786</v>
      </c>
      <c r="D126" t="s" s="10">
        <v>343</v>
      </c>
      <c r="E126" t="s" s="10">
        <v>343</v>
      </c>
      <c r="F126" t="s" s="10">
        <v>206</v>
      </c>
      <c r="G126" t="s" s="10">
        <v>207</v>
      </c>
      <c r="H126" t="s" s="10">
        <v>208</v>
      </c>
      <c r="I126" s="12"/>
      <c r="J126" s="12"/>
      <c r="K126" t="s" s="10">
        <v>95</v>
      </c>
      <c r="L126" t="s" s="10">
        <v>55</v>
      </c>
      <c r="M126" s="12"/>
      <c r="N126" t="s" s="10">
        <v>56</v>
      </c>
      <c r="O126" t="s" s="10">
        <v>57</v>
      </c>
      <c r="P126" s="13">
        <v>4100000909</v>
      </c>
      <c r="Q126" s="12"/>
      <c r="R126" t="s" s="10">
        <v>58</v>
      </c>
      <c r="S126" s="14">
        <v>13</v>
      </c>
      <c r="T126" t="s" s="10">
        <v>65</v>
      </c>
      <c r="U126" s="14">
        <v>208</v>
      </c>
      <c r="V126" t="s" s="10">
        <v>60</v>
      </c>
      <c r="W126" s="14">
        <v>0</v>
      </c>
      <c r="X126" s="14">
        <v>132000</v>
      </c>
      <c r="Y126" s="14">
        <v>132000</v>
      </c>
      <c r="Z126" s="14">
        <v>1716000</v>
      </c>
      <c r="AA126" s="14">
        <v>2</v>
      </c>
      <c r="AB126" s="14">
        <v>2640</v>
      </c>
      <c r="AC126" s="14">
        <v>2.5</v>
      </c>
      <c r="AD126" s="14">
        <v>3234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76362</v>
      </c>
      <c r="AL126" s="14">
        <v>1639638</v>
      </c>
      <c r="AM126" s="14">
        <v>118918.92</v>
      </c>
      <c r="AN126" s="14">
        <v>1545945.94</v>
      </c>
      <c r="AO126" s="14">
        <v>68794.59</v>
      </c>
      <c r="AP126" s="14">
        <v>1477151.35</v>
      </c>
      <c r="AQ126" s="14">
        <v>0</v>
      </c>
      <c r="AR126" s="14">
        <v>1477151.35</v>
      </c>
      <c r="AS126" s="14">
        <v>162486.65</v>
      </c>
      <c r="AT126" s="14">
        <v>1639638</v>
      </c>
      <c r="AU126" t="s" s="10">
        <v>61</v>
      </c>
      <c r="AV126" t="s" s="10">
        <v>61</v>
      </c>
    </row>
    <row r="127" ht="13.65" customHeight="1">
      <c r="A127" t="s" s="9">
        <v>346</v>
      </c>
      <c r="B127" t="s" s="10">
        <v>49</v>
      </c>
      <c r="C127" s="11" cm="1">
        <f t="array" ref="C127">DATEVALUE("2025-05-10")</f>
        <v>45787</v>
      </c>
      <c r="D127" t="s" s="10">
        <v>347</v>
      </c>
      <c r="E127" t="s" s="10">
        <v>347</v>
      </c>
      <c r="F127" t="s" s="10">
        <v>348</v>
      </c>
      <c r="G127" t="s" s="10">
        <v>349</v>
      </c>
      <c r="H127" t="s" s="10">
        <v>350</v>
      </c>
      <c r="I127" s="12"/>
      <c r="J127" s="12"/>
      <c r="K127" t="s" s="10">
        <v>160</v>
      </c>
      <c r="L127" t="s" s="10">
        <v>72</v>
      </c>
      <c r="M127" s="12"/>
      <c r="N127" t="s" s="10">
        <v>56</v>
      </c>
      <c r="O127" t="s" s="10">
        <v>57</v>
      </c>
      <c r="P127" t="s" s="10">
        <v>73</v>
      </c>
      <c r="Q127" s="12"/>
      <c r="R127" t="s" s="10">
        <v>58</v>
      </c>
      <c r="S127" s="14">
        <v>2</v>
      </c>
      <c r="T127" t="s" s="10">
        <v>65</v>
      </c>
      <c r="U127" s="14">
        <v>120</v>
      </c>
      <c r="V127" t="s" s="10">
        <v>60</v>
      </c>
      <c r="W127" s="14">
        <v>0</v>
      </c>
      <c r="X127" s="14">
        <v>102300</v>
      </c>
      <c r="Y127" s="14">
        <v>102300</v>
      </c>
      <c r="Z127" s="14">
        <v>204600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204600</v>
      </c>
      <c r="AM127" s="14">
        <v>92162.16</v>
      </c>
      <c r="AN127" s="14">
        <v>184324.32</v>
      </c>
      <c r="AO127" s="14">
        <v>0</v>
      </c>
      <c r="AP127" s="14">
        <v>184324.32</v>
      </c>
      <c r="AQ127" s="14">
        <v>0</v>
      </c>
      <c r="AR127" s="14">
        <v>184324.32</v>
      </c>
      <c r="AS127" s="14">
        <v>20275.68</v>
      </c>
      <c r="AT127" s="14">
        <v>204600</v>
      </c>
      <c r="AU127" s="12"/>
      <c r="AV127" s="12"/>
    </row>
    <row r="128" ht="13.65" customHeight="1">
      <c r="A128" t="s" s="9">
        <v>351</v>
      </c>
      <c r="B128" t="s" s="10">
        <v>49</v>
      </c>
      <c r="C128" s="11" cm="1">
        <f t="array" ref="C128">DATEVALUE("2025-05-10")</f>
        <v>45787</v>
      </c>
      <c r="D128" t="s" s="10">
        <v>352</v>
      </c>
      <c r="E128" t="s" s="10">
        <v>352</v>
      </c>
      <c r="F128" t="s" s="10">
        <v>86</v>
      </c>
      <c r="G128" t="s" s="10">
        <v>87</v>
      </c>
      <c r="H128" t="s" s="10">
        <v>88</v>
      </c>
      <c r="I128" s="12"/>
      <c r="J128" s="12"/>
      <c r="K128" t="s" s="10">
        <v>54</v>
      </c>
      <c r="L128" t="s" s="10">
        <v>72</v>
      </c>
      <c r="M128" s="12"/>
      <c r="N128" t="s" s="10">
        <v>56</v>
      </c>
      <c r="O128" t="s" s="10">
        <v>57</v>
      </c>
      <c r="P128" s="13">
        <v>41000001424</v>
      </c>
      <c r="Q128" s="12"/>
      <c r="R128" t="s" s="10">
        <v>58</v>
      </c>
      <c r="S128" s="14">
        <v>1</v>
      </c>
      <c r="T128" t="s" s="10">
        <v>119</v>
      </c>
      <c r="U128" s="14">
        <v>12</v>
      </c>
      <c r="V128" t="s" s="10">
        <v>120</v>
      </c>
      <c r="W128" s="14">
        <v>0</v>
      </c>
      <c r="X128" s="14">
        <v>90000</v>
      </c>
      <c r="Y128" s="14">
        <v>90000</v>
      </c>
      <c r="Z128" s="14">
        <v>90000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90000</v>
      </c>
      <c r="AM128" s="14">
        <v>81081.08</v>
      </c>
      <c r="AN128" s="14">
        <v>81081.08</v>
      </c>
      <c r="AO128" s="14">
        <v>0</v>
      </c>
      <c r="AP128" s="14">
        <v>81081.08</v>
      </c>
      <c r="AQ128" s="14">
        <v>0</v>
      </c>
      <c r="AR128" s="14">
        <v>81081.08</v>
      </c>
      <c r="AS128" s="14">
        <v>8918.92</v>
      </c>
      <c r="AT128" s="14">
        <v>90000</v>
      </c>
      <c r="AU128" t="s" s="10">
        <v>61</v>
      </c>
      <c r="AV128" t="s" s="10">
        <v>61</v>
      </c>
    </row>
    <row r="129" ht="13.65" customHeight="1">
      <c r="A129" t="s" s="9">
        <v>353</v>
      </c>
      <c r="B129" t="s" s="10">
        <v>49</v>
      </c>
      <c r="C129" s="11" cm="1">
        <f t="array" ref="C129">DATEVALUE("2025-05-10")</f>
        <v>45787</v>
      </c>
      <c r="D129" t="s" s="10">
        <v>354</v>
      </c>
      <c r="E129" t="s" s="10">
        <v>354</v>
      </c>
      <c r="F129" t="s" s="10">
        <v>355</v>
      </c>
      <c r="G129" t="s" s="10">
        <v>356</v>
      </c>
      <c r="H129" t="s" s="10">
        <v>357</v>
      </c>
      <c r="I129" s="12"/>
      <c r="J129" s="12"/>
      <c r="K129" t="s" s="10">
        <v>54</v>
      </c>
      <c r="L129" t="s" s="10">
        <v>72</v>
      </c>
      <c r="M129" s="12"/>
      <c r="N129" t="s" s="10">
        <v>56</v>
      </c>
      <c r="O129" t="s" s="10">
        <v>57</v>
      </c>
      <c r="P129" t="s" s="10">
        <v>73</v>
      </c>
      <c r="Q129" s="12"/>
      <c r="R129" t="s" s="10">
        <v>58</v>
      </c>
      <c r="S129" s="14">
        <v>1</v>
      </c>
      <c r="T129" t="s" s="10">
        <v>65</v>
      </c>
      <c r="U129" s="14">
        <v>60</v>
      </c>
      <c r="V129" t="s" s="10">
        <v>60</v>
      </c>
      <c r="W129" s="14">
        <v>0</v>
      </c>
      <c r="X129" s="14">
        <v>102300</v>
      </c>
      <c r="Y129" s="14">
        <v>102300</v>
      </c>
      <c r="Z129" s="14">
        <v>102300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102300</v>
      </c>
      <c r="AM129" s="14">
        <v>92162.16</v>
      </c>
      <c r="AN129" s="14">
        <v>92162.16</v>
      </c>
      <c r="AO129" s="14">
        <v>0</v>
      </c>
      <c r="AP129" s="14">
        <v>92162.16</v>
      </c>
      <c r="AQ129" s="14">
        <v>0</v>
      </c>
      <c r="AR129" s="14">
        <v>92162.16</v>
      </c>
      <c r="AS129" s="14">
        <v>10137.84</v>
      </c>
      <c r="AT129" s="14">
        <v>102300</v>
      </c>
      <c r="AU129" t="s" s="10">
        <v>61</v>
      </c>
      <c r="AV129" t="s" s="10">
        <v>61</v>
      </c>
    </row>
    <row r="130" ht="13.65" customHeight="1">
      <c r="A130" t="s" s="9">
        <v>358</v>
      </c>
      <c r="B130" t="s" s="10">
        <v>49</v>
      </c>
      <c r="C130" s="11" cm="1">
        <f t="array" ref="C130">DATEVALUE("2025-05-10")</f>
        <v>45787</v>
      </c>
      <c r="D130" t="s" s="10">
        <v>359</v>
      </c>
      <c r="E130" t="s" s="10">
        <v>359</v>
      </c>
      <c r="F130" t="s" s="10">
        <v>360</v>
      </c>
      <c r="G130" t="s" s="10">
        <v>361</v>
      </c>
      <c r="H130" t="s" s="10">
        <v>362</v>
      </c>
      <c r="I130" s="12"/>
      <c r="J130" s="12"/>
      <c r="K130" t="s" s="10">
        <v>54</v>
      </c>
      <c r="L130" t="s" s="10">
        <v>72</v>
      </c>
      <c r="M130" s="12"/>
      <c r="N130" t="s" s="10">
        <v>56</v>
      </c>
      <c r="O130" t="s" s="10">
        <v>57</v>
      </c>
      <c r="P130" t="s" s="10">
        <v>73</v>
      </c>
      <c r="Q130" s="12"/>
      <c r="R130" t="s" s="10">
        <v>58</v>
      </c>
      <c r="S130" s="14">
        <v>1</v>
      </c>
      <c r="T130" t="s" s="10">
        <v>65</v>
      </c>
      <c r="U130" s="14">
        <v>60</v>
      </c>
      <c r="V130" t="s" s="10">
        <v>60</v>
      </c>
      <c r="W130" s="14">
        <v>0</v>
      </c>
      <c r="X130" s="14">
        <v>102300</v>
      </c>
      <c r="Y130" s="14">
        <v>102300</v>
      </c>
      <c r="Z130" s="14">
        <v>102300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102300</v>
      </c>
      <c r="AM130" s="14">
        <v>92162.16</v>
      </c>
      <c r="AN130" s="14">
        <v>92162.16</v>
      </c>
      <c r="AO130" s="14">
        <v>0</v>
      </c>
      <c r="AP130" s="14">
        <v>92162.16</v>
      </c>
      <c r="AQ130" s="14">
        <v>0</v>
      </c>
      <c r="AR130" s="14">
        <v>92162.16</v>
      </c>
      <c r="AS130" s="14">
        <v>10137.84</v>
      </c>
      <c r="AT130" s="14">
        <v>102300</v>
      </c>
      <c r="AU130" t="s" s="10">
        <v>61</v>
      </c>
      <c r="AV130" t="s" s="10">
        <v>61</v>
      </c>
    </row>
    <row r="131" ht="13.65" customHeight="1">
      <c r="A131" t="s" s="9">
        <v>363</v>
      </c>
      <c r="B131" t="s" s="10">
        <v>49</v>
      </c>
      <c r="C131" s="11" cm="1">
        <f t="array" ref="C131">DATEVALUE("2025-05-10")</f>
        <v>45787</v>
      </c>
      <c r="D131" t="s" s="10">
        <v>359</v>
      </c>
      <c r="E131" t="s" s="10">
        <v>359</v>
      </c>
      <c r="F131" t="s" s="10">
        <v>360</v>
      </c>
      <c r="G131" t="s" s="10">
        <v>361</v>
      </c>
      <c r="H131" t="s" s="10">
        <v>362</v>
      </c>
      <c r="I131" s="12"/>
      <c r="J131" s="12"/>
      <c r="K131" t="s" s="10">
        <v>54</v>
      </c>
      <c r="L131" t="s" s="10">
        <v>72</v>
      </c>
      <c r="M131" s="12"/>
      <c r="N131" t="s" s="10">
        <v>56</v>
      </c>
      <c r="O131" t="s" s="10">
        <v>57</v>
      </c>
      <c r="P131" s="13">
        <v>4100001078</v>
      </c>
      <c r="Q131" s="12"/>
      <c r="R131" t="s" s="10">
        <v>58</v>
      </c>
      <c r="S131" s="14">
        <v>12</v>
      </c>
      <c r="T131" t="s" s="10">
        <v>60</v>
      </c>
      <c r="U131" s="14">
        <v>12</v>
      </c>
      <c r="V131" t="s" s="10">
        <v>60</v>
      </c>
      <c r="W131" s="14">
        <v>0</v>
      </c>
      <c r="X131" s="14">
        <v>5750</v>
      </c>
      <c r="Y131" s="14">
        <v>5750</v>
      </c>
      <c r="Z131" s="14">
        <v>69000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69000</v>
      </c>
      <c r="AM131" s="14">
        <v>5180.18</v>
      </c>
      <c r="AN131" s="14">
        <v>62162.16</v>
      </c>
      <c r="AO131" s="14">
        <v>0</v>
      </c>
      <c r="AP131" s="14">
        <v>62162.16</v>
      </c>
      <c r="AQ131" s="14">
        <v>0</v>
      </c>
      <c r="AR131" s="14">
        <v>62162.16</v>
      </c>
      <c r="AS131" s="14">
        <v>6837.84</v>
      </c>
      <c r="AT131" s="14">
        <v>69000</v>
      </c>
      <c r="AU131" t="s" s="10">
        <v>61</v>
      </c>
      <c r="AV131" t="s" s="10">
        <v>61</v>
      </c>
    </row>
    <row r="132" ht="13.65" customHeight="1">
      <c r="A132" t="s" s="9">
        <v>364</v>
      </c>
      <c r="B132" t="s" s="10">
        <v>49</v>
      </c>
      <c r="C132" s="11" cm="1">
        <f t="array" ref="C132">DATEVALUE("2025-05-10")</f>
        <v>45787</v>
      </c>
      <c r="D132" t="s" s="10">
        <v>365</v>
      </c>
      <c r="E132" t="s" s="10">
        <v>365</v>
      </c>
      <c r="F132" t="s" s="10">
        <v>105</v>
      </c>
      <c r="G132" t="s" s="10">
        <v>106</v>
      </c>
      <c r="H132" t="s" s="10">
        <v>107</v>
      </c>
      <c r="I132" s="12"/>
      <c r="J132" s="12"/>
      <c r="K132" t="s" s="10">
        <v>54</v>
      </c>
      <c r="L132" t="s" s="10">
        <v>72</v>
      </c>
      <c r="M132" s="12"/>
      <c r="N132" t="s" s="10">
        <v>56</v>
      </c>
      <c r="O132" t="s" s="10">
        <v>57</v>
      </c>
      <c r="P132" t="s" s="10">
        <v>73</v>
      </c>
      <c r="Q132" s="12"/>
      <c r="R132" t="s" s="10">
        <v>58</v>
      </c>
      <c r="S132" s="14">
        <v>2</v>
      </c>
      <c r="T132" t="s" s="10">
        <v>65</v>
      </c>
      <c r="U132" s="14">
        <v>120</v>
      </c>
      <c r="V132" t="s" s="10">
        <v>60</v>
      </c>
      <c r="W132" s="14">
        <v>0</v>
      </c>
      <c r="X132" s="14">
        <v>102300</v>
      </c>
      <c r="Y132" s="14">
        <v>102300</v>
      </c>
      <c r="Z132" s="14">
        <v>204600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204600</v>
      </c>
      <c r="AM132" s="14">
        <v>92162.16</v>
      </c>
      <c r="AN132" s="14">
        <v>184324.32</v>
      </c>
      <c r="AO132" s="14">
        <v>0</v>
      </c>
      <c r="AP132" s="14">
        <v>184324.32</v>
      </c>
      <c r="AQ132" s="14">
        <v>0</v>
      </c>
      <c r="AR132" s="14">
        <v>184324.32</v>
      </c>
      <c r="AS132" s="14">
        <v>20275.68</v>
      </c>
      <c r="AT132" s="14">
        <v>204600</v>
      </c>
      <c r="AU132" t="s" s="10">
        <v>61</v>
      </c>
      <c r="AV132" t="s" s="10">
        <v>61</v>
      </c>
    </row>
    <row r="133" ht="13.65" customHeight="1">
      <c r="A133" t="s" s="9">
        <v>366</v>
      </c>
      <c r="B133" t="s" s="10">
        <v>49</v>
      </c>
      <c r="C133" s="11" cm="1">
        <f t="array" ref="C133">DATEVALUE("2025-05-10")</f>
        <v>45787</v>
      </c>
      <c r="D133" t="s" s="10">
        <v>367</v>
      </c>
      <c r="E133" t="s" s="10">
        <v>367</v>
      </c>
      <c r="F133" t="s" s="10">
        <v>368</v>
      </c>
      <c r="G133" t="s" s="10">
        <v>369</v>
      </c>
      <c r="H133" t="s" s="10">
        <v>88</v>
      </c>
      <c r="I133" s="12"/>
      <c r="J133" s="12"/>
      <c r="K133" t="s" s="10">
        <v>54</v>
      </c>
      <c r="L133" t="s" s="10">
        <v>72</v>
      </c>
      <c r="M133" s="12"/>
      <c r="N133" t="s" s="10">
        <v>56</v>
      </c>
      <c r="O133" t="s" s="10">
        <v>57</v>
      </c>
      <c r="P133" s="13">
        <v>4100000920</v>
      </c>
      <c r="Q133" s="12"/>
      <c r="R133" t="s" s="10">
        <v>58</v>
      </c>
      <c r="S133" s="14">
        <v>1</v>
      </c>
      <c r="T133" t="s" s="10">
        <v>65</v>
      </c>
      <c r="U133" s="14">
        <v>16</v>
      </c>
      <c r="V133" t="s" s="10">
        <v>60</v>
      </c>
      <c r="W133" s="14">
        <v>0</v>
      </c>
      <c r="X133" s="14">
        <v>132000</v>
      </c>
      <c r="Y133" s="14">
        <v>132000</v>
      </c>
      <c r="Z133" s="14">
        <v>132000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132000</v>
      </c>
      <c r="AM133" s="14">
        <v>118918.92</v>
      </c>
      <c r="AN133" s="14">
        <v>118918.92</v>
      </c>
      <c r="AO133" s="14">
        <v>0</v>
      </c>
      <c r="AP133" s="14">
        <v>118918.92</v>
      </c>
      <c r="AQ133" s="14">
        <v>0</v>
      </c>
      <c r="AR133" s="14">
        <v>118918.92</v>
      </c>
      <c r="AS133" s="14">
        <v>13081.08</v>
      </c>
      <c r="AT133" s="14">
        <v>132000</v>
      </c>
      <c r="AU133" t="s" s="10">
        <v>61</v>
      </c>
      <c r="AV133" t="s" s="10">
        <v>61</v>
      </c>
    </row>
    <row r="134" ht="13.65" customHeight="1">
      <c r="A134" t="s" s="9">
        <v>370</v>
      </c>
      <c r="B134" t="s" s="10">
        <v>49</v>
      </c>
      <c r="C134" s="11" cm="1">
        <f t="array" ref="C134">DATEVALUE("2025-05-10")</f>
        <v>45787</v>
      </c>
      <c r="D134" t="s" s="10">
        <v>371</v>
      </c>
      <c r="E134" t="s" s="10">
        <v>371</v>
      </c>
      <c r="F134" t="s" s="10">
        <v>372</v>
      </c>
      <c r="G134" t="s" s="10">
        <v>373</v>
      </c>
      <c r="H134" t="s" s="10">
        <v>374</v>
      </c>
      <c r="I134" s="12"/>
      <c r="J134" s="12"/>
      <c r="K134" t="s" s="10">
        <v>54</v>
      </c>
      <c r="L134" t="s" s="10">
        <v>72</v>
      </c>
      <c r="M134" s="12"/>
      <c r="N134" t="s" s="10">
        <v>56</v>
      </c>
      <c r="O134" t="s" s="10">
        <v>57</v>
      </c>
      <c r="P134" t="s" s="10">
        <v>73</v>
      </c>
      <c r="Q134" s="12"/>
      <c r="R134" t="s" s="10">
        <v>58</v>
      </c>
      <c r="S134" s="14">
        <v>1</v>
      </c>
      <c r="T134" t="s" s="10">
        <v>65</v>
      </c>
      <c r="U134" s="14">
        <v>60</v>
      </c>
      <c r="V134" t="s" s="10">
        <v>60</v>
      </c>
      <c r="W134" s="14">
        <v>0</v>
      </c>
      <c r="X134" s="14">
        <v>102300</v>
      </c>
      <c r="Y134" s="14">
        <v>102300</v>
      </c>
      <c r="Z134" s="14">
        <v>102300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102300</v>
      </c>
      <c r="AM134" s="14">
        <v>92162.16</v>
      </c>
      <c r="AN134" s="14">
        <v>92162.16</v>
      </c>
      <c r="AO134" s="14">
        <v>0</v>
      </c>
      <c r="AP134" s="14">
        <v>92162.16</v>
      </c>
      <c r="AQ134" s="14">
        <v>0</v>
      </c>
      <c r="AR134" s="14">
        <v>92162.16</v>
      </c>
      <c r="AS134" s="14">
        <v>10137.84</v>
      </c>
      <c r="AT134" s="14">
        <v>102300</v>
      </c>
      <c r="AU134" t="s" s="10">
        <v>61</v>
      </c>
      <c r="AV134" t="s" s="10">
        <v>61</v>
      </c>
    </row>
    <row r="135" ht="13.65" customHeight="1">
      <c r="A135" t="s" s="9">
        <v>375</v>
      </c>
      <c r="B135" t="s" s="10">
        <v>49</v>
      </c>
      <c r="C135" s="11" cm="1">
        <f t="array" ref="C135">DATEVALUE("2025-05-13")</f>
        <v>45790</v>
      </c>
      <c r="D135" t="s" s="10">
        <v>376</v>
      </c>
      <c r="E135" t="s" s="10">
        <v>376</v>
      </c>
      <c r="F135" t="s" s="10">
        <v>377</v>
      </c>
      <c r="G135" t="s" s="10">
        <v>378</v>
      </c>
      <c r="H135" t="s" s="10">
        <v>379</v>
      </c>
      <c r="I135" s="12"/>
      <c r="J135" s="12"/>
      <c r="K135" t="s" s="10">
        <v>54</v>
      </c>
      <c r="L135" t="s" s="10">
        <v>72</v>
      </c>
      <c r="M135" s="12"/>
      <c r="N135" t="s" s="10">
        <v>56</v>
      </c>
      <c r="O135" t="s" s="10">
        <v>57</v>
      </c>
      <c r="P135" t="s" s="10">
        <v>73</v>
      </c>
      <c r="Q135" s="12"/>
      <c r="R135" t="s" s="10">
        <v>58</v>
      </c>
      <c r="S135" s="14">
        <v>2</v>
      </c>
      <c r="T135" t="s" s="10">
        <v>65</v>
      </c>
      <c r="U135" s="14">
        <v>120</v>
      </c>
      <c r="V135" t="s" s="10">
        <v>60</v>
      </c>
      <c r="W135" s="14">
        <v>0</v>
      </c>
      <c r="X135" s="14">
        <v>102300</v>
      </c>
      <c r="Y135" s="14">
        <v>102300</v>
      </c>
      <c r="Z135" s="14">
        <v>204600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204600</v>
      </c>
      <c r="AM135" s="14">
        <v>92162.16</v>
      </c>
      <c r="AN135" s="14">
        <v>184324.32</v>
      </c>
      <c r="AO135" s="14">
        <v>0</v>
      </c>
      <c r="AP135" s="14">
        <v>184324.32</v>
      </c>
      <c r="AQ135" s="14">
        <v>0</v>
      </c>
      <c r="AR135" s="14">
        <v>184324.32</v>
      </c>
      <c r="AS135" s="14">
        <v>20275.68</v>
      </c>
      <c r="AT135" s="14">
        <v>204600</v>
      </c>
      <c r="AU135" t="s" s="10">
        <v>61</v>
      </c>
      <c r="AV135" t="s" s="10">
        <v>61</v>
      </c>
    </row>
    <row r="136" ht="13.65" customHeight="1">
      <c r="A136" t="s" s="9">
        <v>380</v>
      </c>
      <c r="B136" t="s" s="10">
        <v>49</v>
      </c>
      <c r="C136" s="11" cm="1">
        <f t="array" ref="C136">DATEVALUE("2025-05-13")</f>
        <v>45790</v>
      </c>
      <c r="D136" t="s" s="10">
        <v>376</v>
      </c>
      <c r="E136" t="s" s="10">
        <v>376</v>
      </c>
      <c r="F136" t="s" s="10">
        <v>377</v>
      </c>
      <c r="G136" t="s" s="10">
        <v>378</v>
      </c>
      <c r="H136" t="s" s="10">
        <v>379</v>
      </c>
      <c r="I136" s="12"/>
      <c r="J136" s="12"/>
      <c r="K136" t="s" s="10">
        <v>54</v>
      </c>
      <c r="L136" t="s" s="10">
        <v>72</v>
      </c>
      <c r="M136" s="12"/>
      <c r="N136" t="s" s="10">
        <v>56</v>
      </c>
      <c r="O136" t="s" s="10">
        <v>57</v>
      </c>
      <c r="P136" s="13">
        <v>4100001206</v>
      </c>
      <c r="Q136" s="12"/>
      <c r="R136" t="s" s="10">
        <v>58</v>
      </c>
      <c r="S136" s="14">
        <v>1</v>
      </c>
      <c r="T136" t="s" s="10">
        <v>65</v>
      </c>
      <c r="U136" s="14">
        <v>60</v>
      </c>
      <c r="V136" t="s" s="10">
        <v>60</v>
      </c>
      <c r="W136" s="14">
        <v>0</v>
      </c>
      <c r="X136" s="14">
        <v>102300</v>
      </c>
      <c r="Y136" s="14">
        <v>102300</v>
      </c>
      <c r="Z136" s="14">
        <v>102300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102300</v>
      </c>
      <c r="AM136" s="14">
        <v>92162.16</v>
      </c>
      <c r="AN136" s="14">
        <v>92162.16</v>
      </c>
      <c r="AO136" s="14">
        <v>0</v>
      </c>
      <c r="AP136" s="14">
        <v>92162.16</v>
      </c>
      <c r="AQ136" s="14">
        <v>0</v>
      </c>
      <c r="AR136" s="14">
        <v>92162.16</v>
      </c>
      <c r="AS136" s="14">
        <v>10137.84</v>
      </c>
      <c r="AT136" s="14">
        <v>102300</v>
      </c>
      <c r="AU136" t="s" s="10">
        <v>61</v>
      </c>
      <c r="AV136" t="s" s="10">
        <v>61</v>
      </c>
    </row>
    <row r="137" ht="13.65" customHeight="1">
      <c r="A137" t="s" s="9">
        <v>381</v>
      </c>
      <c r="B137" t="s" s="10">
        <v>49</v>
      </c>
      <c r="C137" s="11" cm="1">
        <f t="array" ref="C137">DATEVALUE("2025-05-13")</f>
        <v>45790</v>
      </c>
      <c r="D137" t="s" s="10">
        <v>382</v>
      </c>
      <c r="E137" t="s" s="10">
        <v>382</v>
      </c>
      <c r="F137" t="s" s="10">
        <v>383</v>
      </c>
      <c r="G137" t="s" s="10">
        <v>384</v>
      </c>
      <c r="H137" t="s" s="10">
        <v>385</v>
      </c>
      <c r="I137" s="12"/>
      <c r="J137" s="12"/>
      <c r="K137" t="s" s="10">
        <v>54</v>
      </c>
      <c r="L137" t="s" s="10">
        <v>72</v>
      </c>
      <c r="M137" s="12"/>
      <c r="N137" t="s" s="10">
        <v>56</v>
      </c>
      <c r="O137" t="s" s="10">
        <v>57</v>
      </c>
      <c r="P137" t="s" s="10">
        <v>73</v>
      </c>
      <c r="Q137" s="12"/>
      <c r="R137" t="s" s="10">
        <v>58</v>
      </c>
      <c r="S137" s="14">
        <v>1</v>
      </c>
      <c r="T137" t="s" s="10">
        <v>65</v>
      </c>
      <c r="U137" s="14">
        <v>60</v>
      </c>
      <c r="V137" t="s" s="10">
        <v>60</v>
      </c>
      <c r="W137" s="14">
        <v>0</v>
      </c>
      <c r="X137" s="14">
        <v>102300</v>
      </c>
      <c r="Y137" s="14">
        <v>102300</v>
      </c>
      <c r="Z137" s="14">
        <v>102300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102300</v>
      </c>
      <c r="AM137" s="14">
        <v>92162.16</v>
      </c>
      <c r="AN137" s="14">
        <v>92162.16</v>
      </c>
      <c r="AO137" s="14">
        <v>0</v>
      </c>
      <c r="AP137" s="14">
        <v>92162.16</v>
      </c>
      <c r="AQ137" s="14">
        <v>0</v>
      </c>
      <c r="AR137" s="14">
        <v>92162.16</v>
      </c>
      <c r="AS137" s="14">
        <v>10137.84</v>
      </c>
      <c r="AT137" s="14">
        <v>102300</v>
      </c>
      <c r="AU137" t="s" s="10">
        <v>61</v>
      </c>
      <c r="AV137" t="s" s="10">
        <v>61</v>
      </c>
    </row>
    <row r="138" ht="13.65" customHeight="1">
      <c r="A138" t="s" s="9">
        <v>386</v>
      </c>
      <c r="B138" t="s" s="10">
        <v>49</v>
      </c>
      <c r="C138" s="11" cm="1">
        <f t="array" ref="C138">DATEVALUE("2025-05-13")</f>
        <v>45790</v>
      </c>
      <c r="D138" t="s" s="10">
        <v>387</v>
      </c>
      <c r="E138" t="s" s="10">
        <v>387</v>
      </c>
      <c r="F138" t="s" s="10">
        <v>92</v>
      </c>
      <c r="G138" t="s" s="10">
        <v>93</v>
      </c>
      <c r="H138" t="s" s="10">
        <v>94</v>
      </c>
      <c r="I138" s="12"/>
      <c r="J138" s="12"/>
      <c r="K138" t="s" s="10">
        <v>95</v>
      </c>
      <c r="L138" t="s" s="10">
        <v>55</v>
      </c>
      <c r="M138" s="12"/>
      <c r="N138" t="s" s="10">
        <v>56</v>
      </c>
      <c r="O138" t="s" s="10">
        <v>57</v>
      </c>
      <c r="P138" s="13">
        <v>4100001396</v>
      </c>
      <c r="Q138" s="12"/>
      <c r="R138" t="s" s="10">
        <v>58</v>
      </c>
      <c r="S138" s="14">
        <v>4</v>
      </c>
      <c r="T138" t="s" s="10">
        <v>65</v>
      </c>
      <c r="U138" s="14">
        <v>480</v>
      </c>
      <c r="V138" t="s" s="10">
        <v>60</v>
      </c>
      <c r="W138" s="14">
        <v>0</v>
      </c>
      <c r="X138" s="14">
        <v>97500</v>
      </c>
      <c r="Y138" s="14">
        <v>99000</v>
      </c>
      <c r="Z138" s="14">
        <v>396000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396000</v>
      </c>
      <c r="AM138" s="14">
        <v>89189.19</v>
      </c>
      <c r="AN138" s="14">
        <v>356756.76</v>
      </c>
      <c r="AO138" s="14">
        <v>0</v>
      </c>
      <c r="AP138" s="14">
        <v>356756.76</v>
      </c>
      <c r="AQ138" s="14">
        <v>0</v>
      </c>
      <c r="AR138" s="14">
        <v>356756.76</v>
      </c>
      <c r="AS138" s="14">
        <v>39243.24</v>
      </c>
      <c r="AT138" s="14">
        <v>396000</v>
      </c>
      <c r="AU138" t="s" s="10">
        <v>96</v>
      </c>
      <c r="AV138" t="s" s="10">
        <v>96</v>
      </c>
    </row>
    <row r="139" ht="13.65" customHeight="1">
      <c r="A139" t="s" s="9">
        <v>388</v>
      </c>
      <c r="B139" t="s" s="10">
        <v>49</v>
      </c>
      <c r="C139" s="11" cm="1">
        <f t="array" ref="C139">DATEVALUE("2025-05-13")</f>
        <v>45790</v>
      </c>
      <c r="D139" t="s" s="10">
        <v>389</v>
      </c>
      <c r="E139" t="s" s="10">
        <v>389</v>
      </c>
      <c r="F139" t="s" s="10">
        <v>390</v>
      </c>
      <c r="G139" t="s" s="10">
        <v>391</v>
      </c>
      <c r="H139" t="s" s="10">
        <v>392</v>
      </c>
      <c r="I139" s="12"/>
      <c r="J139" s="12"/>
      <c r="K139" t="s" s="10">
        <v>54</v>
      </c>
      <c r="L139" t="s" s="10">
        <v>72</v>
      </c>
      <c r="M139" s="12"/>
      <c r="N139" t="s" s="10">
        <v>56</v>
      </c>
      <c r="O139" t="s" s="10">
        <v>57</v>
      </c>
      <c r="P139" t="s" s="10">
        <v>73</v>
      </c>
      <c r="Q139" s="12"/>
      <c r="R139" t="s" s="10">
        <v>58</v>
      </c>
      <c r="S139" s="14">
        <v>2</v>
      </c>
      <c r="T139" t="s" s="10">
        <v>65</v>
      </c>
      <c r="U139" s="14">
        <v>120</v>
      </c>
      <c r="V139" t="s" s="10">
        <v>60</v>
      </c>
      <c r="W139" s="14">
        <v>0</v>
      </c>
      <c r="X139" s="14">
        <v>102300</v>
      </c>
      <c r="Y139" s="14">
        <v>102300</v>
      </c>
      <c r="Z139" s="14">
        <v>204600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204600</v>
      </c>
      <c r="AM139" s="14">
        <v>92162.16</v>
      </c>
      <c r="AN139" s="14">
        <v>184324.32</v>
      </c>
      <c r="AO139" s="14">
        <v>0</v>
      </c>
      <c r="AP139" s="14">
        <v>184324.32</v>
      </c>
      <c r="AQ139" s="14">
        <v>0</v>
      </c>
      <c r="AR139" s="14">
        <v>184324.32</v>
      </c>
      <c r="AS139" s="14">
        <v>20275.68</v>
      </c>
      <c r="AT139" s="14">
        <v>204600</v>
      </c>
      <c r="AU139" t="s" s="10">
        <v>61</v>
      </c>
      <c r="AV139" t="s" s="10">
        <v>61</v>
      </c>
    </row>
    <row r="140" ht="13.65" customHeight="1">
      <c r="A140" t="s" s="9">
        <v>393</v>
      </c>
      <c r="B140" t="s" s="10">
        <v>49</v>
      </c>
      <c r="C140" s="11" cm="1">
        <f t="array" ref="C140">DATEVALUE("2025-05-13")</f>
        <v>45790</v>
      </c>
      <c r="D140" t="s" s="10">
        <v>389</v>
      </c>
      <c r="E140" t="s" s="10">
        <v>389</v>
      </c>
      <c r="F140" t="s" s="10">
        <v>390</v>
      </c>
      <c r="G140" t="s" s="10">
        <v>391</v>
      </c>
      <c r="H140" t="s" s="10">
        <v>392</v>
      </c>
      <c r="I140" s="12"/>
      <c r="J140" s="12"/>
      <c r="K140" t="s" s="10">
        <v>54</v>
      </c>
      <c r="L140" t="s" s="10">
        <v>72</v>
      </c>
      <c r="M140" s="12"/>
      <c r="N140" t="s" s="10">
        <v>56</v>
      </c>
      <c r="O140" t="s" s="10">
        <v>57</v>
      </c>
      <c r="P140" s="13">
        <v>41000001424</v>
      </c>
      <c r="Q140" s="12"/>
      <c r="R140" t="s" s="10">
        <v>58</v>
      </c>
      <c r="S140" s="14">
        <v>1</v>
      </c>
      <c r="T140" t="s" s="10">
        <v>119</v>
      </c>
      <c r="U140" s="14">
        <v>12</v>
      </c>
      <c r="V140" t="s" s="10">
        <v>120</v>
      </c>
      <c r="W140" s="14">
        <v>0</v>
      </c>
      <c r="X140" s="14">
        <v>90000</v>
      </c>
      <c r="Y140" s="14">
        <v>90000</v>
      </c>
      <c r="Z140" s="14">
        <v>90000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90000</v>
      </c>
      <c r="AM140" s="14">
        <v>81081.08</v>
      </c>
      <c r="AN140" s="14">
        <v>81081.08</v>
      </c>
      <c r="AO140" s="14">
        <v>0</v>
      </c>
      <c r="AP140" s="14">
        <v>81081.08</v>
      </c>
      <c r="AQ140" s="14">
        <v>0</v>
      </c>
      <c r="AR140" s="14">
        <v>81081.08</v>
      </c>
      <c r="AS140" s="14">
        <v>8918.92</v>
      </c>
      <c r="AT140" s="14">
        <v>90000</v>
      </c>
      <c r="AU140" t="s" s="10">
        <v>61</v>
      </c>
      <c r="AV140" t="s" s="10">
        <v>61</v>
      </c>
    </row>
    <row r="141" ht="13.65" customHeight="1">
      <c r="A141" t="s" s="9">
        <v>394</v>
      </c>
      <c r="B141" t="s" s="10">
        <v>49</v>
      </c>
      <c r="C141" s="11" cm="1">
        <f t="array" ref="C141">DATEVALUE("2025-05-13")</f>
        <v>45790</v>
      </c>
      <c r="D141" t="s" s="10">
        <v>395</v>
      </c>
      <c r="E141" t="s" s="10">
        <v>395</v>
      </c>
      <c r="F141" t="s" s="10">
        <v>396</v>
      </c>
      <c r="G141" t="s" s="10">
        <v>397</v>
      </c>
      <c r="H141" t="s" s="10">
        <v>398</v>
      </c>
      <c r="I141" s="12"/>
      <c r="J141" s="12"/>
      <c r="K141" t="s" s="10">
        <v>54</v>
      </c>
      <c r="L141" t="s" s="10">
        <v>72</v>
      </c>
      <c r="M141" s="12"/>
      <c r="N141" t="s" s="10">
        <v>56</v>
      </c>
      <c r="O141" t="s" s="10">
        <v>57</v>
      </c>
      <c r="P141" s="13">
        <v>4100000920</v>
      </c>
      <c r="Q141" s="12"/>
      <c r="R141" t="s" s="10">
        <v>58</v>
      </c>
      <c r="S141" s="14">
        <v>1</v>
      </c>
      <c r="T141" t="s" s="10">
        <v>65</v>
      </c>
      <c r="U141" s="14">
        <v>16</v>
      </c>
      <c r="V141" t="s" s="10">
        <v>60</v>
      </c>
      <c r="W141" s="14">
        <v>0</v>
      </c>
      <c r="X141" s="14">
        <v>132000</v>
      </c>
      <c r="Y141" s="14">
        <v>132000</v>
      </c>
      <c r="Z141" s="14">
        <v>132000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132000</v>
      </c>
      <c r="AM141" s="14">
        <v>118918.92</v>
      </c>
      <c r="AN141" s="14">
        <v>118918.92</v>
      </c>
      <c r="AO141" s="14">
        <v>0</v>
      </c>
      <c r="AP141" s="14">
        <v>118918.92</v>
      </c>
      <c r="AQ141" s="14">
        <v>0</v>
      </c>
      <c r="AR141" s="14">
        <v>118918.92</v>
      </c>
      <c r="AS141" s="14">
        <v>13081.08</v>
      </c>
      <c r="AT141" s="14">
        <v>132000</v>
      </c>
      <c r="AU141" t="s" s="10">
        <v>61</v>
      </c>
      <c r="AV141" t="s" s="10">
        <v>61</v>
      </c>
    </row>
    <row r="142" ht="13.65" customHeight="1">
      <c r="A142" t="s" s="9">
        <v>399</v>
      </c>
      <c r="B142" t="s" s="10">
        <v>49</v>
      </c>
      <c r="C142" s="11" cm="1">
        <f t="array" ref="C142">DATEVALUE("2025-05-13")</f>
        <v>45790</v>
      </c>
      <c r="D142" t="s" s="10">
        <v>395</v>
      </c>
      <c r="E142" t="s" s="10">
        <v>395</v>
      </c>
      <c r="F142" t="s" s="10">
        <v>396</v>
      </c>
      <c r="G142" t="s" s="10">
        <v>397</v>
      </c>
      <c r="H142" t="s" s="10">
        <v>398</v>
      </c>
      <c r="I142" s="12"/>
      <c r="J142" s="12"/>
      <c r="K142" t="s" s="10">
        <v>54</v>
      </c>
      <c r="L142" t="s" s="10">
        <v>72</v>
      </c>
      <c r="M142" s="12"/>
      <c r="N142" t="s" s="10">
        <v>56</v>
      </c>
      <c r="O142" t="s" s="10">
        <v>57</v>
      </c>
      <c r="P142" s="13">
        <v>4100000909</v>
      </c>
      <c r="Q142" s="12"/>
      <c r="R142" t="s" s="10">
        <v>58</v>
      </c>
      <c r="S142" s="14">
        <v>1</v>
      </c>
      <c r="T142" t="s" s="10">
        <v>65</v>
      </c>
      <c r="U142" s="14">
        <v>16</v>
      </c>
      <c r="V142" t="s" s="10">
        <v>60</v>
      </c>
      <c r="W142" s="14">
        <v>0</v>
      </c>
      <c r="X142" s="14">
        <v>132000</v>
      </c>
      <c r="Y142" s="14">
        <v>132000</v>
      </c>
      <c r="Z142" s="14">
        <v>132000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132000</v>
      </c>
      <c r="AM142" s="14">
        <v>118918.92</v>
      </c>
      <c r="AN142" s="14">
        <v>118918.92</v>
      </c>
      <c r="AO142" s="14">
        <v>0</v>
      </c>
      <c r="AP142" s="14">
        <v>118918.92</v>
      </c>
      <c r="AQ142" s="14">
        <v>0</v>
      </c>
      <c r="AR142" s="14">
        <v>118918.92</v>
      </c>
      <c r="AS142" s="14">
        <v>13081.08</v>
      </c>
      <c r="AT142" s="14">
        <v>132000</v>
      </c>
      <c r="AU142" t="s" s="10">
        <v>61</v>
      </c>
      <c r="AV142" t="s" s="10">
        <v>61</v>
      </c>
    </row>
    <row r="143" ht="13.65" customHeight="1">
      <c r="A143" t="s" s="9">
        <v>400</v>
      </c>
      <c r="B143" t="s" s="10">
        <v>49</v>
      </c>
      <c r="C143" s="11" cm="1">
        <f t="array" ref="C143">DATEVALUE("2025-05-13")</f>
        <v>45790</v>
      </c>
      <c r="D143" t="s" s="10">
        <v>395</v>
      </c>
      <c r="E143" t="s" s="10">
        <v>395</v>
      </c>
      <c r="F143" t="s" s="10">
        <v>396</v>
      </c>
      <c r="G143" t="s" s="10">
        <v>397</v>
      </c>
      <c r="H143" t="s" s="10">
        <v>398</v>
      </c>
      <c r="I143" s="12"/>
      <c r="J143" s="12"/>
      <c r="K143" t="s" s="10">
        <v>54</v>
      </c>
      <c r="L143" t="s" s="10">
        <v>72</v>
      </c>
      <c r="M143" s="12"/>
      <c r="N143" t="s" s="10">
        <v>56</v>
      </c>
      <c r="O143" t="s" s="10">
        <v>57</v>
      </c>
      <c r="P143" s="13">
        <v>4100001277</v>
      </c>
      <c r="Q143" s="12"/>
      <c r="R143" t="s" s="10">
        <v>58</v>
      </c>
      <c r="S143" s="14">
        <v>1</v>
      </c>
      <c r="T143" t="s" s="10">
        <v>65</v>
      </c>
      <c r="U143" s="14">
        <v>24</v>
      </c>
      <c r="V143" t="s" s="10">
        <v>60</v>
      </c>
      <c r="W143" s="14">
        <v>0</v>
      </c>
      <c r="X143" s="14">
        <v>112008</v>
      </c>
      <c r="Y143" s="14">
        <v>112008</v>
      </c>
      <c r="Z143" s="14">
        <v>112008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112008</v>
      </c>
      <c r="AM143" s="14">
        <v>100908.11</v>
      </c>
      <c r="AN143" s="14">
        <v>100908.11</v>
      </c>
      <c r="AO143" s="14">
        <v>0</v>
      </c>
      <c r="AP143" s="14">
        <v>100908.11</v>
      </c>
      <c r="AQ143" s="14">
        <v>0</v>
      </c>
      <c r="AR143" s="14">
        <v>100908.11</v>
      </c>
      <c r="AS143" s="14">
        <v>11099.89</v>
      </c>
      <c r="AT143" s="14">
        <v>112008</v>
      </c>
      <c r="AU143" t="s" s="10">
        <v>61</v>
      </c>
      <c r="AV143" t="s" s="10">
        <v>61</v>
      </c>
    </row>
    <row r="144" ht="13.65" customHeight="1">
      <c r="A144" t="s" s="9">
        <v>401</v>
      </c>
      <c r="B144" t="s" s="10">
        <v>49</v>
      </c>
      <c r="C144" s="11" cm="1">
        <f t="array" ref="C144">DATEVALUE("2025-05-13")</f>
        <v>45790</v>
      </c>
      <c r="D144" t="s" s="10">
        <v>402</v>
      </c>
      <c r="E144" t="s" s="10">
        <v>402</v>
      </c>
      <c r="F144" t="s" s="10">
        <v>140</v>
      </c>
      <c r="G144" t="s" s="10">
        <v>141</v>
      </c>
      <c r="H144" t="s" s="10">
        <v>142</v>
      </c>
      <c r="I144" s="12"/>
      <c r="J144" s="12"/>
      <c r="K144" t="s" s="10">
        <v>54</v>
      </c>
      <c r="L144" t="s" s="10">
        <v>72</v>
      </c>
      <c r="M144" s="12"/>
      <c r="N144" t="s" s="10">
        <v>56</v>
      </c>
      <c r="O144" t="s" s="10">
        <v>57</v>
      </c>
      <c r="P144" s="13">
        <v>4100000909</v>
      </c>
      <c r="Q144" s="12"/>
      <c r="R144" t="s" s="10">
        <v>58</v>
      </c>
      <c r="S144" s="14">
        <v>1</v>
      </c>
      <c r="T144" t="s" s="10">
        <v>65</v>
      </c>
      <c r="U144" s="14">
        <v>16</v>
      </c>
      <c r="V144" t="s" s="10">
        <v>60</v>
      </c>
      <c r="W144" s="14">
        <v>0</v>
      </c>
      <c r="X144" s="14">
        <v>132000</v>
      </c>
      <c r="Y144" s="14">
        <v>132000</v>
      </c>
      <c r="Z144" s="14">
        <v>132000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132000</v>
      </c>
      <c r="AM144" s="14">
        <v>118918.92</v>
      </c>
      <c r="AN144" s="14">
        <v>118918.92</v>
      </c>
      <c r="AO144" s="14">
        <v>0</v>
      </c>
      <c r="AP144" s="14">
        <v>118918.92</v>
      </c>
      <c r="AQ144" s="14">
        <v>0</v>
      </c>
      <c r="AR144" s="14">
        <v>118918.92</v>
      </c>
      <c r="AS144" s="14">
        <v>13081.08</v>
      </c>
      <c r="AT144" s="14">
        <v>132000</v>
      </c>
      <c r="AU144" t="s" s="10">
        <v>61</v>
      </c>
      <c r="AV144" t="s" s="10">
        <v>61</v>
      </c>
    </row>
    <row r="145" ht="13.65" customHeight="1">
      <c r="A145" t="s" s="9">
        <v>403</v>
      </c>
      <c r="B145" t="s" s="10">
        <v>49</v>
      </c>
      <c r="C145" s="11" cm="1">
        <f t="array" ref="C145">DATEVALUE("2025-05-13")</f>
        <v>45790</v>
      </c>
      <c r="D145" t="s" s="10">
        <v>402</v>
      </c>
      <c r="E145" t="s" s="10">
        <v>402</v>
      </c>
      <c r="F145" t="s" s="10">
        <v>140</v>
      </c>
      <c r="G145" t="s" s="10">
        <v>141</v>
      </c>
      <c r="H145" t="s" s="10">
        <v>142</v>
      </c>
      <c r="I145" s="12"/>
      <c r="J145" s="12"/>
      <c r="K145" t="s" s="10">
        <v>54</v>
      </c>
      <c r="L145" t="s" s="10">
        <v>72</v>
      </c>
      <c r="M145" s="12"/>
      <c r="N145" t="s" s="10">
        <v>56</v>
      </c>
      <c r="O145" t="s" s="10">
        <v>57</v>
      </c>
      <c r="P145" s="13">
        <v>4100001284</v>
      </c>
      <c r="Q145" s="12"/>
      <c r="R145" t="s" s="10">
        <v>58</v>
      </c>
      <c r="S145" s="14">
        <v>1</v>
      </c>
      <c r="T145" t="s" s="10">
        <v>65</v>
      </c>
      <c r="U145" s="14">
        <v>24</v>
      </c>
      <c r="V145" t="s" s="10">
        <v>60</v>
      </c>
      <c r="W145" s="14">
        <v>0</v>
      </c>
      <c r="X145" s="14">
        <v>111600</v>
      </c>
      <c r="Y145" s="14">
        <v>111600</v>
      </c>
      <c r="Z145" s="14">
        <v>111600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111600</v>
      </c>
      <c r="AM145" s="14">
        <v>100540.54</v>
      </c>
      <c r="AN145" s="14">
        <v>100540.54</v>
      </c>
      <c r="AO145" s="14">
        <v>0</v>
      </c>
      <c r="AP145" s="14">
        <v>100540.54</v>
      </c>
      <c r="AQ145" s="14">
        <v>0</v>
      </c>
      <c r="AR145" s="14">
        <v>100540.54</v>
      </c>
      <c r="AS145" s="14">
        <v>11059.46</v>
      </c>
      <c r="AT145" s="14">
        <v>111600</v>
      </c>
      <c r="AU145" t="s" s="10">
        <v>61</v>
      </c>
      <c r="AV145" t="s" s="10">
        <v>61</v>
      </c>
    </row>
    <row r="146" ht="13.65" customHeight="1">
      <c r="A146" t="s" s="9">
        <v>404</v>
      </c>
      <c r="B146" t="s" s="10">
        <v>49</v>
      </c>
      <c r="C146" s="11" cm="1">
        <f t="array" ref="C146">DATEVALUE("2025-05-13")</f>
        <v>45790</v>
      </c>
      <c r="D146" t="s" s="10">
        <v>402</v>
      </c>
      <c r="E146" t="s" s="10">
        <v>402</v>
      </c>
      <c r="F146" t="s" s="10">
        <v>140</v>
      </c>
      <c r="G146" t="s" s="10">
        <v>141</v>
      </c>
      <c r="H146" t="s" s="10">
        <v>142</v>
      </c>
      <c r="I146" s="12"/>
      <c r="J146" s="12"/>
      <c r="K146" t="s" s="10">
        <v>54</v>
      </c>
      <c r="L146" t="s" s="10">
        <v>72</v>
      </c>
      <c r="M146" s="12"/>
      <c r="N146" t="s" s="10">
        <v>56</v>
      </c>
      <c r="O146" t="s" s="10">
        <v>57</v>
      </c>
      <c r="P146" s="13">
        <v>4100001277</v>
      </c>
      <c r="Q146" s="12"/>
      <c r="R146" t="s" s="10">
        <v>58</v>
      </c>
      <c r="S146" s="14">
        <v>1</v>
      </c>
      <c r="T146" t="s" s="10">
        <v>65</v>
      </c>
      <c r="U146" s="14">
        <v>24</v>
      </c>
      <c r="V146" t="s" s="10">
        <v>60</v>
      </c>
      <c r="W146" s="14">
        <v>0</v>
      </c>
      <c r="X146" s="14">
        <v>112008</v>
      </c>
      <c r="Y146" s="14">
        <v>112008</v>
      </c>
      <c r="Z146" s="14">
        <v>112008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112008</v>
      </c>
      <c r="AM146" s="14">
        <v>100908.11</v>
      </c>
      <c r="AN146" s="14">
        <v>100908.11</v>
      </c>
      <c r="AO146" s="14">
        <v>0</v>
      </c>
      <c r="AP146" s="14">
        <v>100908.11</v>
      </c>
      <c r="AQ146" s="14">
        <v>0</v>
      </c>
      <c r="AR146" s="14">
        <v>100908.11</v>
      </c>
      <c r="AS146" s="14">
        <v>11099.89</v>
      </c>
      <c r="AT146" s="14">
        <v>112008</v>
      </c>
      <c r="AU146" t="s" s="10">
        <v>61</v>
      </c>
      <c r="AV146" t="s" s="10">
        <v>61</v>
      </c>
    </row>
    <row r="147" ht="13.65" customHeight="1">
      <c r="A147" t="s" s="9">
        <v>405</v>
      </c>
      <c r="B147" t="s" s="10">
        <v>49</v>
      </c>
      <c r="C147" s="11" cm="1">
        <f t="array" ref="C147">DATEVALUE("2025-05-13")</f>
        <v>45790</v>
      </c>
      <c r="D147" t="s" s="10">
        <v>402</v>
      </c>
      <c r="E147" t="s" s="10">
        <v>402</v>
      </c>
      <c r="F147" t="s" s="10">
        <v>140</v>
      </c>
      <c r="G147" t="s" s="10">
        <v>141</v>
      </c>
      <c r="H147" t="s" s="10">
        <v>142</v>
      </c>
      <c r="I147" s="12"/>
      <c r="J147" s="12"/>
      <c r="K147" t="s" s="10">
        <v>54</v>
      </c>
      <c r="L147" t="s" s="10">
        <v>72</v>
      </c>
      <c r="M147" s="12"/>
      <c r="N147" t="s" s="10">
        <v>56</v>
      </c>
      <c r="O147" t="s" s="10">
        <v>57</v>
      </c>
      <c r="P147" s="13">
        <v>4100001278</v>
      </c>
      <c r="Q147" s="12"/>
      <c r="R147" t="s" s="10">
        <v>58</v>
      </c>
      <c r="S147" s="14">
        <v>1</v>
      </c>
      <c r="T147" t="s" s="10">
        <v>65</v>
      </c>
      <c r="U147" s="14">
        <v>24</v>
      </c>
      <c r="V147" t="s" s="10">
        <v>60</v>
      </c>
      <c r="W147" s="14">
        <v>0</v>
      </c>
      <c r="X147" s="14">
        <v>127800</v>
      </c>
      <c r="Y147" s="14">
        <v>127800</v>
      </c>
      <c r="Z147" s="14">
        <v>127800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127800</v>
      </c>
      <c r="AM147" s="14">
        <v>115135.14</v>
      </c>
      <c r="AN147" s="14">
        <v>115135.14</v>
      </c>
      <c r="AO147" s="14">
        <v>0</v>
      </c>
      <c r="AP147" s="14">
        <v>115135.14</v>
      </c>
      <c r="AQ147" s="14">
        <v>0</v>
      </c>
      <c r="AR147" s="14">
        <v>115135.14</v>
      </c>
      <c r="AS147" s="14">
        <v>12664.86</v>
      </c>
      <c r="AT147" s="14">
        <v>127800</v>
      </c>
      <c r="AU147" t="s" s="10">
        <v>61</v>
      </c>
      <c r="AV147" t="s" s="10">
        <v>61</v>
      </c>
    </row>
    <row r="148" ht="13.65" customHeight="1">
      <c r="A148" t="s" s="9">
        <v>406</v>
      </c>
      <c r="B148" t="s" s="10">
        <v>49</v>
      </c>
      <c r="C148" s="11" cm="1">
        <f t="array" ref="C148">DATEVALUE("2025-05-13")</f>
        <v>45790</v>
      </c>
      <c r="D148" t="s" s="10">
        <v>402</v>
      </c>
      <c r="E148" t="s" s="10">
        <v>402</v>
      </c>
      <c r="F148" t="s" s="10">
        <v>140</v>
      </c>
      <c r="G148" t="s" s="10">
        <v>141</v>
      </c>
      <c r="H148" t="s" s="10">
        <v>142</v>
      </c>
      <c r="I148" s="12"/>
      <c r="J148" s="12"/>
      <c r="K148" t="s" s="10">
        <v>54</v>
      </c>
      <c r="L148" t="s" s="10">
        <v>72</v>
      </c>
      <c r="M148" s="12"/>
      <c r="N148" t="s" s="10">
        <v>56</v>
      </c>
      <c r="O148" t="s" s="10">
        <v>57</v>
      </c>
      <c r="P148" s="13">
        <v>4100000920</v>
      </c>
      <c r="Q148" s="12"/>
      <c r="R148" t="s" s="10">
        <v>58</v>
      </c>
      <c r="S148" s="14">
        <v>1</v>
      </c>
      <c r="T148" t="s" s="10">
        <v>65</v>
      </c>
      <c r="U148" s="14">
        <v>16</v>
      </c>
      <c r="V148" t="s" s="10">
        <v>60</v>
      </c>
      <c r="W148" s="14">
        <v>0</v>
      </c>
      <c r="X148" s="14">
        <v>132000</v>
      </c>
      <c r="Y148" s="14">
        <v>132000</v>
      </c>
      <c r="Z148" s="14">
        <v>132000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132000</v>
      </c>
      <c r="AM148" s="14">
        <v>118918.92</v>
      </c>
      <c r="AN148" s="14">
        <v>118918.92</v>
      </c>
      <c r="AO148" s="14">
        <v>0</v>
      </c>
      <c r="AP148" s="14">
        <v>118918.92</v>
      </c>
      <c r="AQ148" s="14">
        <v>0</v>
      </c>
      <c r="AR148" s="14">
        <v>118918.92</v>
      </c>
      <c r="AS148" s="14">
        <v>13081.08</v>
      </c>
      <c r="AT148" s="14">
        <v>132000</v>
      </c>
      <c r="AU148" t="s" s="10">
        <v>61</v>
      </c>
      <c r="AV148" t="s" s="10">
        <v>61</v>
      </c>
    </row>
    <row r="149" ht="13.65" customHeight="1">
      <c r="A149" t="s" s="9">
        <v>407</v>
      </c>
      <c r="B149" t="s" s="10">
        <v>49</v>
      </c>
      <c r="C149" s="11" cm="1">
        <f t="array" ref="C149">DATEVALUE("2025-05-13")</f>
        <v>45790</v>
      </c>
      <c r="D149" t="s" s="10">
        <v>408</v>
      </c>
      <c r="E149" t="s" s="10">
        <v>408</v>
      </c>
      <c r="F149" t="s" s="10">
        <v>409</v>
      </c>
      <c r="G149" t="s" s="10">
        <v>410</v>
      </c>
      <c r="H149" t="s" s="10">
        <v>411</v>
      </c>
      <c r="I149" s="12"/>
      <c r="J149" s="12"/>
      <c r="K149" t="s" s="10">
        <v>54</v>
      </c>
      <c r="L149" t="s" s="10">
        <v>72</v>
      </c>
      <c r="M149" s="12"/>
      <c r="N149" t="s" s="10">
        <v>56</v>
      </c>
      <c r="O149" t="s" s="10">
        <v>57</v>
      </c>
      <c r="P149" s="13">
        <v>41000001424</v>
      </c>
      <c r="Q149" s="12"/>
      <c r="R149" t="s" s="10">
        <v>58</v>
      </c>
      <c r="S149" s="14">
        <v>1</v>
      </c>
      <c r="T149" t="s" s="10">
        <v>119</v>
      </c>
      <c r="U149" s="14">
        <v>12</v>
      </c>
      <c r="V149" t="s" s="10">
        <v>120</v>
      </c>
      <c r="W149" s="14">
        <v>0</v>
      </c>
      <c r="X149" s="14">
        <v>90000</v>
      </c>
      <c r="Y149" s="14">
        <v>90000</v>
      </c>
      <c r="Z149" s="14">
        <v>90000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90000</v>
      </c>
      <c r="AM149" s="14">
        <v>81081.08</v>
      </c>
      <c r="AN149" s="14">
        <v>81081.08</v>
      </c>
      <c r="AO149" s="14">
        <v>0</v>
      </c>
      <c r="AP149" s="14">
        <v>81081.08</v>
      </c>
      <c r="AQ149" s="14">
        <v>0</v>
      </c>
      <c r="AR149" s="14">
        <v>81081.08</v>
      </c>
      <c r="AS149" s="14">
        <v>8918.92</v>
      </c>
      <c r="AT149" s="14">
        <v>90000</v>
      </c>
      <c r="AU149" t="s" s="10">
        <v>412</v>
      </c>
      <c r="AV149" t="s" s="10">
        <v>412</v>
      </c>
    </row>
    <row r="150" ht="13.65" customHeight="1">
      <c r="A150" t="s" s="9">
        <v>413</v>
      </c>
      <c r="B150" t="s" s="10">
        <v>49</v>
      </c>
      <c r="C150" s="11" cm="1">
        <f t="array" ref="C150">DATEVALUE("2025-05-13")</f>
        <v>45790</v>
      </c>
      <c r="D150" t="s" s="10">
        <v>408</v>
      </c>
      <c r="E150" t="s" s="10">
        <v>408</v>
      </c>
      <c r="F150" t="s" s="10">
        <v>409</v>
      </c>
      <c r="G150" t="s" s="10">
        <v>410</v>
      </c>
      <c r="H150" t="s" s="10">
        <v>411</v>
      </c>
      <c r="I150" s="12"/>
      <c r="J150" s="12"/>
      <c r="K150" t="s" s="10">
        <v>54</v>
      </c>
      <c r="L150" t="s" s="10">
        <v>72</v>
      </c>
      <c r="M150" s="12"/>
      <c r="N150" t="s" s="10">
        <v>56</v>
      </c>
      <c r="O150" t="s" s="10">
        <v>57</v>
      </c>
      <c r="P150" s="13">
        <v>4100001425</v>
      </c>
      <c r="Q150" s="12"/>
      <c r="R150" t="s" s="10">
        <v>58</v>
      </c>
      <c r="S150" s="14">
        <v>1</v>
      </c>
      <c r="T150" t="s" s="10">
        <v>66</v>
      </c>
      <c r="U150" s="14">
        <v>12</v>
      </c>
      <c r="V150" t="s" s="10">
        <v>120</v>
      </c>
      <c r="W150" s="14">
        <v>0</v>
      </c>
      <c r="X150" s="14">
        <v>100000.08</v>
      </c>
      <c r="Y150" s="14">
        <v>100000.08</v>
      </c>
      <c r="Z150" s="14">
        <v>100000.08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100000.08</v>
      </c>
      <c r="AM150" s="14">
        <v>90090.16</v>
      </c>
      <c r="AN150" s="14">
        <v>90090.16</v>
      </c>
      <c r="AO150" s="14">
        <v>0</v>
      </c>
      <c r="AP150" s="14">
        <v>90090.16</v>
      </c>
      <c r="AQ150" s="14">
        <v>0</v>
      </c>
      <c r="AR150" s="14">
        <v>90090.16</v>
      </c>
      <c r="AS150" s="14">
        <v>9909.92</v>
      </c>
      <c r="AT150" s="14">
        <v>100000.08</v>
      </c>
      <c r="AU150" t="s" s="10">
        <v>412</v>
      </c>
      <c r="AV150" t="s" s="10">
        <v>412</v>
      </c>
    </row>
    <row r="151" ht="13.65" customHeight="1">
      <c r="A151" t="s" s="9">
        <v>414</v>
      </c>
      <c r="B151" t="s" s="10">
        <v>49</v>
      </c>
      <c r="C151" s="11" cm="1">
        <f t="array" ref="C151">DATEVALUE("2025-05-14")</f>
        <v>45791</v>
      </c>
      <c r="D151" t="s" s="10">
        <v>415</v>
      </c>
      <c r="E151" t="s" s="10">
        <v>415</v>
      </c>
      <c r="F151" t="s" s="10">
        <v>92</v>
      </c>
      <c r="G151" t="s" s="10">
        <v>93</v>
      </c>
      <c r="H151" t="s" s="10">
        <v>94</v>
      </c>
      <c r="I151" s="12"/>
      <c r="J151" s="12"/>
      <c r="K151" t="s" s="10">
        <v>95</v>
      </c>
      <c r="L151" t="s" s="10">
        <v>55</v>
      </c>
      <c r="M151" s="12"/>
      <c r="N151" t="s" s="10">
        <v>56</v>
      </c>
      <c r="O151" t="s" s="10">
        <v>57</v>
      </c>
      <c r="P151" s="13">
        <v>4100001284</v>
      </c>
      <c r="Q151" s="12"/>
      <c r="R151" t="s" s="10">
        <v>58</v>
      </c>
      <c r="S151" s="14">
        <v>1</v>
      </c>
      <c r="T151" t="s" s="10">
        <v>65</v>
      </c>
      <c r="U151" s="14">
        <v>24</v>
      </c>
      <c r="V151" t="s" s="10">
        <v>60</v>
      </c>
      <c r="W151" s="14">
        <v>0</v>
      </c>
      <c r="X151" s="14">
        <v>111600</v>
      </c>
      <c r="Y151" s="14">
        <v>115200</v>
      </c>
      <c r="Z151" s="14">
        <v>115200</v>
      </c>
      <c r="AA151" s="14">
        <v>15</v>
      </c>
      <c r="AB151" s="14">
        <v>17280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17280</v>
      </c>
      <c r="AL151" s="14">
        <v>97920</v>
      </c>
      <c r="AM151" s="14">
        <v>103783.78</v>
      </c>
      <c r="AN151" s="14">
        <v>103783.79</v>
      </c>
      <c r="AO151" s="14">
        <v>15567.57</v>
      </c>
      <c r="AP151" s="14">
        <v>88216.22</v>
      </c>
      <c r="AQ151" s="14">
        <v>0</v>
      </c>
      <c r="AR151" s="14">
        <v>88216.22</v>
      </c>
      <c r="AS151" s="14">
        <v>9703.780000000001</v>
      </c>
      <c r="AT151" s="14">
        <v>97920</v>
      </c>
      <c r="AU151" t="s" s="10">
        <v>96</v>
      </c>
      <c r="AV151" t="s" s="10">
        <v>96</v>
      </c>
    </row>
    <row r="152" ht="13.65" customHeight="1">
      <c r="A152" t="s" s="9">
        <v>416</v>
      </c>
      <c r="B152" t="s" s="10">
        <v>49</v>
      </c>
      <c r="C152" s="11" cm="1">
        <f t="array" ref="C152">DATEVALUE("2025-05-14")</f>
        <v>45791</v>
      </c>
      <c r="D152" t="s" s="10">
        <v>415</v>
      </c>
      <c r="E152" t="s" s="10">
        <v>415</v>
      </c>
      <c r="F152" t="s" s="10">
        <v>92</v>
      </c>
      <c r="G152" t="s" s="10">
        <v>93</v>
      </c>
      <c r="H152" t="s" s="10">
        <v>94</v>
      </c>
      <c r="I152" s="12"/>
      <c r="J152" s="12"/>
      <c r="K152" t="s" s="10">
        <v>95</v>
      </c>
      <c r="L152" t="s" s="10">
        <v>55</v>
      </c>
      <c r="M152" s="12"/>
      <c r="N152" t="s" s="10">
        <v>56</v>
      </c>
      <c r="O152" t="s" s="10">
        <v>57</v>
      </c>
      <c r="P152" t="s" s="10">
        <v>73</v>
      </c>
      <c r="Q152" s="12"/>
      <c r="R152" t="s" s="10">
        <v>58</v>
      </c>
      <c r="S152" s="14">
        <v>7</v>
      </c>
      <c r="T152" t="s" s="10">
        <v>65</v>
      </c>
      <c r="U152" s="14">
        <v>420</v>
      </c>
      <c r="V152" t="s" s="10">
        <v>60</v>
      </c>
      <c r="W152" s="14">
        <v>0</v>
      </c>
      <c r="X152" s="14">
        <v>102300</v>
      </c>
      <c r="Y152" s="14">
        <v>102300</v>
      </c>
      <c r="Z152" s="14">
        <v>716100</v>
      </c>
      <c r="AA152" s="14">
        <v>3</v>
      </c>
      <c r="AB152" s="14">
        <v>3069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21483</v>
      </c>
      <c r="AL152" s="14">
        <v>694617</v>
      </c>
      <c r="AM152" s="14">
        <v>92162.16</v>
      </c>
      <c r="AN152" s="14">
        <v>645135.13</v>
      </c>
      <c r="AO152" s="14">
        <v>19354.05</v>
      </c>
      <c r="AP152" s="14">
        <v>625781.08</v>
      </c>
      <c r="AQ152" s="14">
        <v>0</v>
      </c>
      <c r="AR152" s="14">
        <v>625781.08</v>
      </c>
      <c r="AS152" s="14">
        <v>68835.92</v>
      </c>
      <c r="AT152" s="14">
        <v>694617</v>
      </c>
      <c r="AU152" t="s" s="10">
        <v>96</v>
      </c>
      <c r="AV152" t="s" s="10">
        <v>96</v>
      </c>
    </row>
    <row r="153" ht="13.65" customHeight="1">
      <c r="A153" t="s" s="9">
        <v>417</v>
      </c>
      <c r="B153" t="s" s="10">
        <v>49</v>
      </c>
      <c r="C153" s="11" cm="1">
        <f t="array" ref="C153">DATEVALUE("2025-05-14")</f>
        <v>45791</v>
      </c>
      <c r="D153" t="s" s="10">
        <v>418</v>
      </c>
      <c r="E153" t="s" s="10">
        <v>418</v>
      </c>
      <c r="F153" t="s" s="10">
        <v>92</v>
      </c>
      <c r="G153" t="s" s="10">
        <v>93</v>
      </c>
      <c r="H153" t="s" s="10">
        <v>94</v>
      </c>
      <c r="I153" s="12"/>
      <c r="J153" s="12"/>
      <c r="K153" t="s" s="10">
        <v>95</v>
      </c>
      <c r="L153" t="s" s="10">
        <v>55</v>
      </c>
      <c r="M153" s="12"/>
      <c r="N153" t="s" s="10">
        <v>56</v>
      </c>
      <c r="O153" t="s" s="10">
        <v>57</v>
      </c>
      <c r="P153" t="s" s="10">
        <v>73</v>
      </c>
      <c r="Q153" s="12"/>
      <c r="R153" t="s" s="10">
        <v>58</v>
      </c>
      <c r="S153" s="14">
        <v>2</v>
      </c>
      <c r="T153" t="s" s="10">
        <v>65</v>
      </c>
      <c r="U153" s="14">
        <v>120</v>
      </c>
      <c r="V153" t="s" s="10">
        <v>60</v>
      </c>
      <c r="W153" s="14">
        <v>0</v>
      </c>
      <c r="X153" s="14">
        <v>102300</v>
      </c>
      <c r="Y153" s="14">
        <v>102300</v>
      </c>
      <c r="Z153" s="14">
        <v>204600</v>
      </c>
      <c r="AA153" s="14">
        <v>3</v>
      </c>
      <c r="AB153" s="14">
        <v>3069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6138</v>
      </c>
      <c r="AL153" s="14">
        <v>198462</v>
      </c>
      <c r="AM153" s="14">
        <v>92162.16</v>
      </c>
      <c r="AN153" s="14">
        <v>184324.32</v>
      </c>
      <c r="AO153" s="14">
        <v>5529.73</v>
      </c>
      <c r="AP153" s="14">
        <v>178794.59</v>
      </c>
      <c r="AQ153" s="14">
        <v>0</v>
      </c>
      <c r="AR153" s="14">
        <v>178794.59</v>
      </c>
      <c r="AS153" s="14">
        <v>19667.41</v>
      </c>
      <c r="AT153" s="14">
        <v>198462</v>
      </c>
      <c r="AU153" t="s" s="10">
        <v>96</v>
      </c>
      <c r="AV153" t="s" s="10">
        <v>96</v>
      </c>
    </row>
    <row r="154" ht="13.65" customHeight="1">
      <c r="A154" t="s" s="9">
        <v>419</v>
      </c>
      <c r="B154" t="s" s="10">
        <v>49</v>
      </c>
      <c r="C154" s="11" cm="1">
        <f t="array" ref="C154">DATEVALUE("2025-05-14")</f>
        <v>45791</v>
      </c>
      <c r="D154" t="s" s="10">
        <v>420</v>
      </c>
      <c r="E154" t="s" s="10">
        <v>420</v>
      </c>
      <c r="F154" t="s" s="10">
        <v>92</v>
      </c>
      <c r="G154" t="s" s="10">
        <v>93</v>
      </c>
      <c r="H154" t="s" s="10">
        <v>94</v>
      </c>
      <c r="I154" s="12"/>
      <c r="J154" s="12"/>
      <c r="K154" t="s" s="10">
        <v>95</v>
      </c>
      <c r="L154" t="s" s="10">
        <v>55</v>
      </c>
      <c r="M154" s="12"/>
      <c r="N154" t="s" s="10">
        <v>56</v>
      </c>
      <c r="O154" t="s" s="10">
        <v>57</v>
      </c>
      <c r="P154" t="s" s="10">
        <v>125</v>
      </c>
      <c r="Q154" s="12"/>
      <c r="R154" t="s" s="10">
        <v>58</v>
      </c>
      <c r="S154" s="14">
        <v>2</v>
      </c>
      <c r="T154" t="s" s="10">
        <v>65</v>
      </c>
      <c r="U154" s="14">
        <v>480</v>
      </c>
      <c r="V154" t="s" s="10">
        <v>60</v>
      </c>
      <c r="W154" s="14">
        <v>0</v>
      </c>
      <c r="X154" s="14">
        <v>214512</v>
      </c>
      <c r="Y154" s="14">
        <v>214512</v>
      </c>
      <c r="Z154" s="14">
        <v>429024</v>
      </c>
      <c r="AA154" s="14">
        <v>15</v>
      </c>
      <c r="AB154" s="14">
        <v>32176.8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64353.6</v>
      </c>
      <c r="AL154" s="14">
        <v>364670.4</v>
      </c>
      <c r="AM154" s="14">
        <v>193254.05</v>
      </c>
      <c r="AN154" s="14">
        <v>386508.11</v>
      </c>
      <c r="AO154" s="14">
        <v>57976.22</v>
      </c>
      <c r="AP154" s="14">
        <v>328531.89</v>
      </c>
      <c r="AQ154" s="14">
        <v>0</v>
      </c>
      <c r="AR154" s="14">
        <v>328531.89</v>
      </c>
      <c r="AS154" s="14">
        <v>36138.51</v>
      </c>
      <c r="AT154" s="14">
        <v>364670.4</v>
      </c>
      <c r="AU154" t="s" s="10">
        <v>96</v>
      </c>
      <c r="AV154" t="s" s="10">
        <v>96</v>
      </c>
    </row>
    <row r="155" ht="13.65" customHeight="1">
      <c r="A155" t="s" s="9">
        <v>421</v>
      </c>
      <c r="B155" t="s" s="10">
        <v>49</v>
      </c>
      <c r="C155" s="11" cm="1">
        <f t="array" ref="C155">DATEVALUE("2025-05-14")</f>
        <v>45791</v>
      </c>
      <c r="D155" t="s" s="10">
        <v>420</v>
      </c>
      <c r="E155" t="s" s="10">
        <v>420</v>
      </c>
      <c r="F155" t="s" s="10">
        <v>92</v>
      </c>
      <c r="G155" t="s" s="10">
        <v>93</v>
      </c>
      <c r="H155" t="s" s="10">
        <v>94</v>
      </c>
      <c r="I155" s="12"/>
      <c r="J155" s="12"/>
      <c r="K155" t="s" s="10">
        <v>95</v>
      </c>
      <c r="L155" t="s" s="10">
        <v>55</v>
      </c>
      <c r="M155" s="12"/>
      <c r="N155" t="s" s="10">
        <v>56</v>
      </c>
      <c r="O155" t="s" s="10">
        <v>57</v>
      </c>
      <c r="P155" s="13">
        <v>4100000009</v>
      </c>
      <c r="Q155" s="12"/>
      <c r="R155" t="s" s="10">
        <v>58</v>
      </c>
      <c r="S155" s="14">
        <v>1</v>
      </c>
      <c r="T155" t="s" s="10">
        <v>65</v>
      </c>
      <c r="U155" s="14">
        <v>24</v>
      </c>
      <c r="V155" t="s" s="10">
        <v>152</v>
      </c>
      <c r="W155" s="14">
        <v>0</v>
      </c>
      <c r="X155" s="14">
        <v>285772.8</v>
      </c>
      <c r="Y155" s="14">
        <v>285772.8</v>
      </c>
      <c r="Z155" s="14">
        <v>285772.8</v>
      </c>
      <c r="AA155" s="14">
        <v>15</v>
      </c>
      <c r="AB155" s="14">
        <v>42865.92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42865.92</v>
      </c>
      <c r="AL155" s="14">
        <v>242906.88</v>
      </c>
      <c r="AM155" s="14">
        <v>257452.97</v>
      </c>
      <c r="AN155" s="14">
        <v>257452.98</v>
      </c>
      <c r="AO155" s="14">
        <v>38617.95</v>
      </c>
      <c r="AP155" s="14">
        <v>218835.03</v>
      </c>
      <c r="AQ155" s="14">
        <v>0</v>
      </c>
      <c r="AR155" s="14">
        <v>218835.03</v>
      </c>
      <c r="AS155" s="14">
        <v>24071.85</v>
      </c>
      <c r="AT155" s="14">
        <v>242906.88</v>
      </c>
      <c r="AU155" t="s" s="10">
        <v>96</v>
      </c>
      <c r="AV155" t="s" s="10">
        <v>96</v>
      </c>
    </row>
    <row r="156" ht="13.65" customHeight="1">
      <c r="A156" t="s" s="9">
        <v>422</v>
      </c>
      <c r="B156" t="s" s="10">
        <v>49</v>
      </c>
      <c r="C156" s="11" cm="1">
        <f t="array" ref="C156">DATEVALUE("2025-05-14")</f>
        <v>45791</v>
      </c>
      <c r="D156" t="s" s="10">
        <v>420</v>
      </c>
      <c r="E156" t="s" s="10">
        <v>420</v>
      </c>
      <c r="F156" t="s" s="10">
        <v>92</v>
      </c>
      <c r="G156" t="s" s="10">
        <v>93</v>
      </c>
      <c r="H156" t="s" s="10">
        <v>94</v>
      </c>
      <c r="I156" s="12"/>
      <c r="J156" s="12"/>
      <c r="K156" t="s" s="10">
        <v>95</v>
      </c>
      <c r="L156" t="s" s="10">
        <v>55</v>
      </c>
      <c r="M156" s="12"/>
      <c r="N156" t="s" s="10">
        <v>56</v>
      </c>
      <c r="O156" t="s" s="10">
        <v>57</v>
      </c>
      <c r="P156" s="13">
        <v>4100000804</v>
      </c>
      <c r="Q156" s="12"/>
      <c r="R156" t="s" s="10">
        <v>58</v>
      </c>
      <c r="S156" s="14">
        <v>1</v>
      </c>
      <c r="T156" t="s" s="10">
        <v>65</v>
      </c>
      <c r="U156" s="14">
        <v>240</v>
      </c>
      <c r="V156" t="s" s="10">
        <v>60</v>
      </c>
      <c r="W156" s="14">
        <v>0</v>
      </c>
      <c r="X156" s="14">
        <v>214512</v>
      </c>
      <c r="Y156" s="14">
        <v>214512</v>
      </c>
      <c r="Z156" s="14">
        <v>214512</v>
      </c>
      <c r="AA156" s="14">
        <v>15</v>
      </c>
      <c r="AB156" s="14">
        <v>32176.8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32176.8</v>
      </c>
      <c r="AL156" s="14">
        <v>182335.2</v>
      </c>
      <c r="AM156" s="14">
        <v>193254.05</v>
      </c>
      <c r="AN156" s="14">
        <v>193254.06</v>
      </c>
      <c r="AO156" s="14">
        <v>28988.11</v>
      </c>
      <c r="AP156" s="14">
        <v>164265.95</v>
      </c>
      <c r="AQ156" s="14">
        <v>0</v>
      </c>
      <c r="AR156" s="14">
        <v>164265.95</v>
      </c>
      <c r="AS156" s="14">
        <v>18069.25</v>
      </c>
      <c r="AT156" s="14">
        <v>182335.2</v>
      </c>
      <c r="AU156" t="s" s="10">
        <v>96</v>
      </c>
      <c r="AV156" t="s" s="10">
        <v>96</v>
      </c>
    </row>
    <row r="157" ht="13.65" customHeight="1">
      <c r="A157" t="s" s="9">
        <v>423</v>
      </c>
      <c r="B157" t="s" s="10">
        <v>49</v>
      </c>
      <c r="C157" s="11" cm="1">
        <f t="array" ref="C157">DATEVALUE("2025-05-14")</f>
        <v>45791</v>
      </c>
      <c r="D157" t="s" s="10">
        <v>424</v>
      </c>
      <c r="E157" t="s" s="10">
        <v>424</v>
      </c>
      <c r="F157" t="s" s="10">
        <v>92</v>
      </c>
      <c r="G157" t="s" s="10">
        <v>93</v>
      </c>
      <c r="H157" t="s" s="10">
        <v>94</v>
      </c>
      <c r="I157" s="12"/>
      <c r="J157" s="12"/>
      <c r="K157" t="s" s="10">
        <v>95</v>
      </c>
      <c r="L157" t="s" s="10">
        <v>55</v>
      </c>
      <c r="M157" s="12"/>
      <c r="N157" t="s" s="10">
        <v>56</v>
      </c>
      <c r="O157" t="s" s="10">
        <v>57</v>
      </c>
      <c r="P157" s="13">
        <v>4100000009</v>
      </c>
      <c r="Q157" s="12"/>
      <c r="R157" t="s" s="10">
        <v>58</v>
      </c>
      <c r="S157" s="14">
        <v>1</v>
      </c>
      <c r="T157" t="s" s="10">
        <v>65</v>
      </c>
      <c r="U157" s="14">
        <v>24</v>
      </c>
      <c r="V157" t="s" s="10">
        <v>152</v>
      </c>
      <c r="W157" s="14">
        <v>0</v>
      </c>
      <c r="X157" s="14">
        <v>285772.8</v>
      </c>
      <c r="Y157" s="14">
        <v>285772.8</v>
      </c>
      <c r="Z157" s="14">
        <v>285772.8</v>
      </c>
      <c r="AA157" s="14">
        <v>15</v>
      </c>
      <c r="AB157" s="14">
        <v>42865.92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42865.92</v>
      </c>
      <c r="AL157" s="14">
        <v>242906.88</v>
      </c>
      <c r="AM157" s="14">
        <v>257452.97</v>
      </c>
      <c r="AN157" s="14">
        <v>257452.98</v>
      </c>
      <c r="AO157" s="14">
        <v>38617.95</v>
      </c>
      <c r="AP157" s="14">
        <v>218835.03</v>
      </c>
      <c r="AQ157" s="14">
        <v>0</v>
      </c>
      <c r="AR157" s="14">
        <v>218835.03</v>
      </c>
      <c r="AS157" s="14">
        <v>24071.85</v>
      </c>
      <c r="AT157" s="14">
        <v>242906.88</v>
      </c>
      <c r="AU157" t="s" s="10">
        <v>96</v>
      </c>
      <c r="AV157" t="s" s="10">
        <v>96</v>
      </c>
    </row>
    <row r="158" ht="13.65" customHeight="1">
      <c r="A158" t="s" s="9">
        <v>425</v>
      </c>
      <c r="B158" t="s" s="10">
        <v>49</v>
      </c>
      <c r="C158" s="11" cm="1">
        <f t="array" ref="C158">DATEVALUE("2025-05-14")</f>
        <v>45791</v>
      </c>
      <c r="D158" t="s" s="10">
        <v>424</v>
      </c>
      <c r="E158" t="s" s="10">
        <v>424</v>
      </c>
      <c r="F158" t="s" s="10">
        <v>92</v>
      </c>
      <c r="G158" t="s" s="10">
        <v>93</v>
      </c>
      <c r="H158" t="s" s="10">
        <v>94</v>
      </c>
      <c r="I158" s="12"/>
      <c r="J158" s="12"/>
      <c r="K158" t="s" s="10">
        <v>95</v>
      </c>
      <c r="L158" t="s" s="10">
        <v>55</v>
      </c>
      <c r="M158" s="12"/>
      <c r="N158" t="s" s="10">
        <v>56</v>
      </c>
      <c r="O158" t="s" s="10">
        <v>57</v>
      </c>
      <c r="P158" s="13">
        <v>4100000804</v>
      </c>
      <c r="Q158" s="12"/>
      <c r="R158" t="s" s="10">
        <v>58</v>
      </c>
      <c r="S158" s="14">
        <v>1</v>
      </c>
      <c r="T158" t="s" s="10">
        <v>65</v>
      </c>
      <c r="U158" s="14">
        <v>240</v>
      </c>
      <c r="V158" t="s" s="10">
        <v>60</v>
      </c>
      <c r="W158" s="14">
        <v>0</v>
      </c>
      <c r="X158" s="14">
        <v>214512</v>
      </c>
      <c r="Y158" s="14">
        <v>214512</v>
      </c>
      <c r="Z158" s="14">
        <v>214512</v>
      </c>
      <c r="AA158" s="14">
        <v>15</v>
      </c>
      <c r="AB158" s="14">
        <v>32176.8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32176.8</v>
      </c>
      <c r="AL158" s="14">
        <v>182335.2</v>
      </c>
      <c r="AM158" s="14">
        <v>193254.05</v>
      </c>
      <c r="AN158" s="14">
        <v>193254.06</v>
      </c>
      <c r="AO158" s="14">
        <v>28988.11</v>
      </c>
      <c r="AP158" s="14">
        <v>164265.95</v>
      </c>
      <c r="AQ158" s="14">
        <v>0</v>
      </c>
      <c r="AR158" s="14">
        <v>164265.95</v>
      </c>
      <c r="AS158" s="14">
        <v>18069.25</v>
      </c>
      <c r="AT158" s="14">
        <v>182335.2</v>
      </c>
      <c r="AU158" t="s" s="10">
        <v>96</v>
      </c>
      <c r="AV158" t="s" s="10">
        <v>96</v>
      </c>
    </row>
    <row r="159" ht="13.65" customHeight="1">
      <c r="A159" t="s" s="9">
        <v>426</v>
      </c>
      <c r="B159" t="s" s="10">
        <v>49</v>
      </c>
      <c r="C159" s="11" cm="1">
        <f t="array" ref="C159">DATEVALUE("2025-05-14")</f>
        <v>45791</v>
      </c>
      <c r="D159" t="s" s="10">
        <v>424</v>
      </c>
      <c r="E159" t="s" s="10">
        <v>424</v>
      </c>
      <c r="F159" t="s" s="10">
        <v>92</v>
      </c>
      <c r="G159" t="s" s="10">
        <v>93</v>
      </c>
      <c r="H159" t="s" s="10">
        <v>94</v>
      </c>
      <c r="I159" s="12"/>
      <c r="J159" s="12"/>
      <c r="K159" t="s" s="10">
        <v>95</v>
      </c>
      <c r="L159" t="s" s="10">
        <v>55</v>
      </c>
      <c r="M159" s="12"/>
      <c r="N159" t="s" s="10">
        <v>56</v>
      </c>
      <c r="O159" t="s" s="10">
        <v>57</v>
      </c>
      <c r="P159" t="s" s="10">
        <v>122</v>
      </c>
      <c r="Q159" s="12"/>
      <c r="R159" t="s" s="10">
        <v>58</v>
      </c>
      <c r="S159" s="14">
        <v>1</v>
      </c>
      <c r="T159" t="s" s="10">
        <v>65</v>
      </c>
      <c r="U159" s="14">
        <v>240</v>
      </c>
      <c r="V159" t="s" s="10">
        <v>60</v>
      </c>
      <c r="W159" s="14">
        <v>0</v>
      </c>
      <c r="X159" s="14">
        <v>214512</v>
      </c>
      <c r="Y159" s="14">
        <v>214512</v>
      </c>
      <c r="Z159" s="14">
        <v>214512</v>
      </c>
      <c r="AA159" s="14">
        <v>15</v>
      </c>
      <c r="AB159" s="14">
        <v>32176.8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32176.8</v>
      </c>
      <c r="AL159" s="14">
        <v>182335.2</v>
      </c>
      <c r="AM159" s="14">
        <v>193254.05</v>
      </c>
      <c r="AN159" s="14">
        <v>193254.06</v>
      </c>
      <c r="AO159" s="14">
        <v>28988.11</v>
      </c>
      <c r="AP159" s="14">
        <v>164265.95</v>
      </c>
      <c r="AQ159" s="14">
        <v>0</v>
      </c>
      <c r="AR159" s="14">
        <v>164265.95</v>
      </c>
      <c r="AS159" s="14">
        <v>18069.25</v>
      </c>
      <c r="AT159" s="14">
        <v>182335.2</v>
      </c>
      <c r="AU159" t="s" s="10">
        <v>96</v>
      </c>
      <c r="AV159" t="s" s="10">
        <v>96</v>
      </c>
    </row>
    <row r="160" ht="13.65" customHeight="1">
      <c r="A160" t="s" s="9">
        <v>427</v>
      </c>
      <c r="B160" t="s" s="10">
        <v>49</v>
      </c>
      <c r="C160" s="11" cm="1">
        <f t="array" ref="C160">DATEVALUE("2025-05-14")</f>
        <v>45791</v>
      </c>
      <c r="D160" t="s" s="10">
        <v>424</v>
      </c>
      <c r="E160" t="s" s="10">
        <v>424</v>
      </c>
      <c r="F160" t="s" s="10">
        <v>92</v>
      </c>
      <c r="G160" t="s" s="10">
        <v>93</v>
      </c>
      <c r="H160" t="s" s="10">
        <v>94</v>
      </c>
      <c r="I160" s="12"/>
      <c r="J160" s="12"/>
      <c r="K160" t="s" s="10">
        <v>95</v>
      </c>
      <c r="L160" t="s" s="10">
        <v>55</v>
      </c>
      <c r="M160" s="12"/>
      <c r="N160" t="s" s="10">
        <v>56</v>
      </c>
      <c r="O160" t="s" s="10">
        <v>57</v>
      </c>
      <c r="P160" s="13">
        <v>4100001295</v>
      </c>
      <c r="Q160" s="12"/>
      <c r="R160" t="s" s="10">
        <v>58</v>
      </c>
      <c r="S160" s="14">
        <v>1</v>
      </c>
      <c r="T160" t="s" s="10">
        <v>65</v>
      </c>
      <c r="U160" s="14">
        <v>120</v>
      </c>
      <c r="V160" t="s" s="10">
        <v>60</v>
      </c>
      <c r="W160" s="14">
        <v>0</v>
      </c>
      <c r="X160" s="14">
        <v>196800</v>
      </c>
      <c r="Y160" s="14">
        <v>204000</v>
      </c>
      <c r="Z160" s="14">
        <v>204000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204000</v>
      </c>
      <c r="AM160" s="14">
        <v>183783.78</v>
      </c>
      <c r="AN160" s="14">
        <v>183783.78</v>
      </c>
      <c r="AO160" s="14">
        <v>0</v>
      </c>
      <c r="AP160" s="14">
        <v>183783.78</v>
      </c>
      <c r="AQ160" s="14">
        <v>0</v>
      </c>
      <c r="AR160" s="14">
        <v>183783.78</v>
      </c>
      <c r="AS160" s="14">
        <v>20216.22</v>
      </c>
      <c r="AT160" s="14">
        <v>204000</v>
      </c>
      <c r="AU160" t="s" s="10">
        <v>96</v>
      </c>
      <c r="AV160" t="s" s="10">
        <v>96</v>
      </c>
    </row>
    <row r="161" ht="13.65" customHeight="1">
      <c r="A161" t="s" s="9">
        <v>428</v>
      </c>
      <c r="B161" t="s" s="10">
        <v>49</v>
      </c>
      <c r="C161" s="11" cm="1">
        <f t="array" ref="C161">DATEVALUE("2025-05-14")</f>
        <v>45791</v>
      </c>
      <c r="D161" t="s" s="10">
        <v>429</v>
      </c>
      <c r="E161" t="s" s="10">
        <v>429</v>
      </c>
      <c r="F161" t="s" s="10">
        <v>430</v>
      </c>
      <c r="G161" t="s" s="10">
        <v>431</v>
      </c>
      <c r="H161" t="s" s="10">
        <v>432</v>
      </c>
      <c r="I161" s="12"/>
      <c r="J161" s="12"/>
      <c r="K161" t="s" s="10">
        <v>54</v>
      </c>
      <c r="L161" t="s" s="10">
        <v>72</v>
      </c>
      <c r="M161" s="12"/>
      <c r="N161" t="s" s="10">
        <v>56</v>
      </c>
      <c r="O161" t="s" s="10">
        <v>57</v>
      </c>
      <c r="P161" s="13">
        <v>4100001425</v>
      </c>
      <c r="Q161" s="12"/>
      <c r="R161" t="s" s="10">
        <v>58</v>
      </c>
      <c r="S161" s="14">
        <v>1</v>
      </c>
      <c r="T161" t="s" s="10">
        <v>66</v>
      </c>
      <c r="U161" s="14">
        <v>12</v>
      </c>
      <c r="V161" t="s" s="10">
        <v>120</v>
      </c>
      <c r="W161" s="14">
        <v>0</v>
      </c>
      <c r="X161" s="14">
        <v>100000.08</v>
      </c>
      <c r="Y161" s="14">
        <v>100000.08</v>
      </c>
      <c r="Z161" s="14">
        <v>100000.08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100000.08</v>
      </c>
      <c r="AM161" s="14">
        <v>90090.16</v>
      </c>
      <c r="AN161" s="14">
        <v>90090.16</v>
      </c>
      <c r="AO161" s="14">
        <v>0</v>
      </c>
      <c r="AP161" s="14">
        <v>90090.16</v>
      </c>
      <c r="AQ161" s="14">
        <v>0</v>
      </c>
      <c r="AR161" s="14">
        <v>90090.16</v>
      </c>
      <c r="AS161" s="14">
        <v>9909.92</v>
      </c>
      <c r="AT161" s="14">
        <v>100000.08</v>
      </c>
      <c r="AU161" t="s" s="10">
        <v>61</v>
      </c>
      <c r="AV161" t="s" s="10">
        <v>61</v>
      </c>
    </row>
    <row r="162" ht="13.65" customHeight="1">
      <c r="A162" t="s" s="9">
        <v>433</v>
      </c>
      <c r="B162" t="s" s="10">
        <v>49</v>
      </c>
      <c r="C162" s="11" cm="1">
        <f t="array" ref="C162">DATEVALUE("2025-05-14")</f>
        <v>45791</v>
      </c>
      <c r="D162" t="s" s="10">
        <v>434</v>
      </c>
      <c r="E162" t="s" s="10">
        <v>434</v>
      </c>
      <c r="F162" t="s" s="10">
        <v>435</v>
      </c>
      <c r="G162" t="s" s="10">
        <v>436</v>
      </c>
      <c r="H162" t="s" s="10">
        <v>71</v>
      </c>
      <c r="I162" s="12"/>
      <c r="J162" s="12"/>
      <c r="K162" t="s" s="10">
        <v>54</v>
      </c>
      <c r="L162" t="s" s="10">
        <v>72</v>
      </c>
      <c r="M162" s="12"/>
      <c r="N162" t="s" s="10">
        <v>56</v>
      </c>
      <c r="O162" t="s" s="10">
        <v>57</v>
      </c>
      <c r="P162" s="13">
        <v>4100001425</v>
      </c>
      <c r="Q162" s="12"/>
      <c r="R162" t="s" s="10">
        <v>58</v>
      </c>
      <c r="S162" s="14">
        <v>1</v>
      </c>
      <c r="T162" t="s" s="10">
        <v>66</v>
      </c>
      <c r="U162" s="14">
        <v>12</v>
      </c>
      <c r="V162" t="s" s="10">
        <v>120</v>
      </c>
      <c r="W162" s="14">
        <v>0</v>
      </c>
      <c r="X162" s="14">
        <v>100000.08</v>
      </c>
      <c r="Y162" s="14">
        <v>100000.08</v>
      </c>
      <c r="Z162" s="14">
        <v>100000.08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100000.08</v>
      </c>
      <c r="AM162" s="14">
        <v>90090.16</v>
      </c>
      <c r="AN162" s="14">
        <v>90090.16</v>
      </c>
      <c r="AO162" s="14">
        <v>0</v>
      </c>
      <c r="AP162" s="14">
        <v>90090.16</v>
      </c>
      <c r="AQ162" s="14">
        <v>0</v>
      </c>
      <c r="AR162" s="14">
        <v>90090.16</v>
      </c>
      <c r="AS162" s="14">
        <v>9909.92</v>
      </c>
      <c r="AT162" s="14">
        <v>100000.08</v>
      </c>
      <c r="AU162" t="s" s="10">
        <v>61</v>
      </c>
      <c r="AV162" t="s" s="10">
        <v>61</v>
      </c>
    </row>
    <row r="163" ht="13.65" customHeight="1">
      <c r="A163" t="s" s="9">
        <v>437</v>
      </c>
      <c r="B163" t="s" s="10">
        <v>49</v>
      </c>
      <c r="C163" s="11" cm="1">
        <f t="array" ref="C163">DATEVALUE("2025-05-14")</f>
        <v>45791</v>
      </c>
      <c r="D163" t="s" s="10">
        <v>438</v>
      </c>
      <c r="E163" t="s" s="10">
        <v>438</v>
      </c>
      <c r="F163" t="s" s="10">
        <v>439</v>
      </c>
      <c r="G163" t="s" s="10">
        <v>440</v>
      </c>
      <c r="H163" t="s" s="10">
        <v>142</v>
      </c>
      <c r="I163" s="12"/>
      <c r="J163" s="12"/>
      <c r="K163" t="s" s="10">
        <v>54</v>
      </c>
      <c r="L163" t="s" s="10">
        <v>55</v>
      </c>
      <c r="M163" s="12"/>
      <c r="N163" t="s" s="10">
        <v>56</v>
      </c>
      <c r="O163" t="s" s="10">
        <v>57</v>
      </c>
      <c r="P163" s="13">
        <v>4100001397</v>
      </c>
      <c r="Q163" s="12"/>
      <c r="R163" t="s" s="10">
        <v>58</v>
      </c>
      <c r="S163" s="14">
        <v>1</v>
      </c>
      <c r="T163" t="s" s="10">
        <v>65</v>
      </c>
      <c r="U163" s="14">
        <v>120</v>
      </c>
      <c r="V163" t="s" s="10">
        <v>60</v>
      </c>
      <c r="W163" s="14">
        <v>0</v>
      </c>
      <c r="X163" s="14">
        <v>97500</v>
      </c>
      <c r="Y163" s="14">
        <v>97500</v>
      </c>
      <c r="Z163" s="14">
        <v>97500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97500</v>
      </c>
      <c r="AM163" s="14">
        <v>87837.84</v>
      </c>
      <c r="AN163" s="14">
        <v>87837.84</v>
      </c>
      <c r="AO163" s="14">
        <v>0</v>
      </c>
      <c r="AP163" s="14">
        <v>87837.84</v>
      </c>
      <c r="AQ163" s="14">
        <v>0</v>
      </c>
      <c r="AR163" s="14">
        <v>87837.84</v>
      </c>
      <c r="AS163" s="14">
        <v>9662.16</v>
      </c>
      <c r="AT163" s="14">
        <v>97500</v>
      </c>
      <c r="AU163" t="s" s="10">
        <v>61</v>
      </c>
      <c r="AV163" t="s" s="10">
        <v>61</v>
      </c>
    </row>
    <row r="164" ht="13.65" customHeight="1">
      <c r="A164" t="s" s="9">
        <v>441</v>
      </c>
      <c r="B164" t="s" s="10">
        <v>49</v>
      </c>
      <c r="C164" s="11" cm="1">
        <f t="array" ref="C164">DATEVALUE("2025-05-14")</f>
        <v>45791</v>
      </c>
      <c r="D164" t="s" s="10">
        <v>438</v>
      </c>
      <c r="E164" t="s" s="10">
        <v>438</v>
      </c>
      <c r="F164" t="s" s="10">
        <v>439</v>
      </c>
      <c r="G164" t="s" s="10">
        <v>440</v>
      </c>
      <c r="H164" t="s" s="10">
        <v>142</v>
      </c>
      <c r="I164" s="12"/>
      <c r="J164" s="12"/>
      <c r="K164" t="s" s="10">
        <v>54</v>
      </c>
      <c r="L164" t="s" s="10">
        <v>55</v>
      </c>
      <c r="M164" s="12"/>
      <c r="N164" t="s" s="10">
        <v>56</v>
      </c>
      <c r="O164" t="s" s="10">
        <v>57</v>
      </c>
      <c r="P164" s="13">
        <v>4100000892</v>
      </c>
      <c r="Q164" s="12"/>
      <c r="R164" t="s" s="10">
        <v>58</v>
      </c>
      <c r="S164" s="14">
        <v>1</v>
      </c>
      <c r="T164" t="s" s="10">
        <v>65</v>
      </c>
      <c r="U164" s="14">
        <v>120</v>
      </c>
      <c r="V164" t="s" s="10">
        <v>60</v>
      </c>
      <c r="W164" s="14">
        <v>0</v>
      </c>
      <c r="X164" s="14">
        <v>105600</v>
      </c>
      <c r="Y164" s="14">
        <v>105600</v>
      </c>
      <c r="Z164" s="14">
        <v>105600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105600</v>
      </c>
      <c r="AM164" s="14">
        <v>95135.14</v>
      </c>
      <c r="AN164" s="14">
        <v>95135.14</v>
      </c>
      <c r="AO164" s="14">
        <v>0</v>
      </c>
      <c r="AP164" s="14">
        <v>95135.14</v>
      </c>
      <c r="AQ164" s="14">
        <v>0</v>
      </c>
      <c r="AR164" s="14">
        <v>95135.14</v>
      </c>
      <c r="AS164" s="14">
        <v>10464.87</v>
      </c>
      <c r="AT164" s="14">
        <v>105600.01</v>
      </c>
      <c r="AU164" t="s" s="10">
        <v>61</v>
      </c>
      <c r="AV164" t="s" s="10">
        <v>61</v>
      </c>
    </row>
    <row r="165" ht="13.65" customHeight="1">
      <c r="A165" t="s" s="9">
        <v>442</v>
      </c>
      <c r="B165" t="s" s="10">
        <v>49</v>
      </c>
      <c r="C165" s="11" cm="1">
        <f t="array" ref="C165">DATEVALUE("2025-05-14")</f>
        <v>45791</v>
      </c>
      <c r="D165" t="s" s="10">
        <v>438</v>
      </c>
      <c r="E165" t="s" s="10">
        <v>438</v>
      </c>
      <c r="F165" t="s" s="10">
        <v>439</v>
      </c>
      <c r="G165" t="s" s="10">
        <v>440</v>
      </c>
      <c r="H165" t="s" s="10">
        <v>142</v>
      </c>
      <c r="I165" s="12"/>
      <c r="J165" s="12"/>
      <c r="K165" t="s" s="10">
        <v>54</v>
      </c>
      <c r="L165" t="s" s="10">
        <v>55</v>
      </c>
      <c r="M165" s="12"/>
      <c r="N165" t="s" s="10">
        <v>56</v>
      </c>
      <c r="O165" t="s" s="10">
        <v>57</v>
      </c>
      <c r="P165" s="13">
        <v>4100000356</v>
      </c>
      <c r="Q165" s="12"/>
      <c r="R165" t="s" s="10">
        <v>58</v>
      </c>
      <c r="S165" s="14">
        <v>12</v>
      </c>
      <c r="T165" t="s" s="10">
        <v>60</v>
      </c>
      <c r="U165" s="14">
        <v>12</v>
      </c>
      <c r="V165" t="s" s="10">
        <v>60</v>
      </c>
      <c r="W165" s="14">
        <v>0</v>
      </c>
      <c r="X165" s="14">
        <v>8600</v>
      </c>
      <c r="Y165" s="14">
        <v>8600</v>
      </c>
      <c r="Z165" s="14">
        <v>103200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103200</v>
      </c>
      <c r="AM165" s="14">
        <v>7747.75</v>
      </c>
      <c r="AN165" s="14">
        <v>92972.97</v>
      </c>
      <c r="AO165" s="14">
        <v>0</v>
      </c>
      <c r="AP165" s="14">
        <v>92972.97</v>
      </c>
      <c r="AQ165" s="14">
        <v>0</v>
      </c>
      <c r="AR165" s="14">
        <v>92972.97</v>
      </c>
      <c r="AS165" s="14">
        <v>10227.03</v>
      </c>
      <c r="AT165" s="14">
        <v>103200</v>
      </c>
      <c r="AU165" t="s" s="10">
        <v>61</v>
      </c>
      <c r="AV165" t="s" s="10">
        <v>61</v>
      </c>
    </row>
    <row r="166" ht="13.65" customHeight="1">
      <c r="A166" t="s" s="9">
        <v>443</v>
      </c>
      <c r="B166" t="s" s="10">
        <v>49</v>
      </c>
      <c r="C166" s="11" cm="1">
        <f t="array" ref="C166">DATEVALUE("2025-05-14")</f>
        <v>45791</v>
      </c>
      <c r="D166" t="s" s="10">
        <v>438</v>
      </c>
      <c r="E166" t="s" s="10">
        <v>438</v>
      </c>
      <c r="F166" t="s" s="10">
        <v>439</v>
      </c>
      <c r="G166" t="s" s="10">
        <v>440</v>
      </c>
      <c r="H166" t="s" s="10">
        <v>142</v>
      </c>
      <c r="I166" s="12"/>
      <c r="J166" s="12"/>
      <c r="K166" t="s" s="10">
        <v>54</v>
      </c>
      <c r="L166" t="s" s="10">
        <v>55</v>
      </c>
      <c r="M166" s="12"/>
      <c r="N166" t="s" s="10">
        <v>56</v>
      </c>
      <c r="O166" t="s" s="10">
        <v>57</v>
      </c>
      <c r="P166" s="13">
        <v>4100000047</v>
      </c>
      <c r="Q166" s="12"/>
      <c r="R166" t="s" s="10">
        <v>58</v>
      </c>
      <c r="S166" s="14">
        <v>1</v>
      </c>
      <c r="T166" t="s" s="10">
        <v>65</v>
      </c>
      <c r="U166" s="14">
        <v>24</v>
      </c>
      <c r="V166" t="s" s="10">
        <v>152</v>
      </c>
      <c r="W166" s="14">
        <v>0</v>
      </c>
      <c r="X166" s="14">
        <v>288000</v>
      </c>
      <c r="Y166" s="14">
        <v>288000</v>
      </c>
      <c r="Z166" s="14">
        <v>288000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288000</v>
      </c>
      <c r="AM166" s="14">
        <v>259459.46</v>
      </c>
      <c r="AN166" s="14">
        <v>259459.46</v>
      </c>
      <c r="AO166" s="14">
        <v>0</v>
      </c>
      <c r="AP166" s="14">
        <v>259459.46</v>
      </c>
      <c r="AQ166" s="14">
        <v>0</v>
      </c>
      <c r="AR166" s="14">
        <v>259459.46</v>
      </c>
      <c r="AS166" s="14">
        <v>28540.54</v>
      </c>
      <c r="AT166" s="14">
        <v>288000</v>
      </c>
      <c r="AU166" t="s" s="10">
        <v>61</v>
      </c>
      <c r="AV166" t="s" s="10">
        <v>61</v>
      </c>
    </row>
    <row r="167" ht="13.65" customHeight="1">
      <c r="A167" t="s" s="9">
        <v>444</v>
      </c>
      <c r="B167" t="s" s="10">
        <v>49</v>
      </c>
      <c r="C167" s="11" cm="1">
        <f t="array" ref="C167">DATEVALUE("2025-05-14")</f>
        <v>45791</v>
      </c>
      <c r="D167" t="s" s="10">
        <v>438</v>
      </c>
      <c r="E167" t="s" s="10">
        <v>438</v>
      </c>
      <c r="F167" t="s" s="10">
        <v>439</v>
      </c>
      <c r="G167" t="s" s="10">
        <v>440</v>
      </c>
      <c r="H167" t="s" s="10">
        <v>142</v>
      </c>
      <c r="I167" s="12"/>
      <c r="J167" s="12"/>
      <c r="K167" t="s" s="10">
        <v>54</v>
      </c>
      <c r="L167" t="s" s="10">
        <v>55</v>
      </c>
      <c r="M167" s="12"/>
      <c r="N167" t="s" s="10">
        <v>56</v>
      </c>
      <c r="O167" t="s" s="10">
        <v>57</v>
      </c>
      <c r="P167" s="13">
        <v>4100000073</v>
      </c>
      <c r="Q167" s="12"/>
      <c r="R167" t="s" s="10">
        <v>58</v>
      </c>
      <c r="S167" s="14">
        <v>1</v>
      </c>
      <c r="T167" t="s" s="10">
        <v>65</v>
      </c>
      <c r="U167" s="14">
        <v>24</v>
      </c>
      <c r="V167" t="s" s="10">
        <v>152</v>
      </c>
      <c r="W167" s="14">
        <v>0</v>
      </c>
      <c r="X167" s="14">
        <v>208800</v>
      </c>
      <c r="Y167" s="14">
        <v>208800</v>
      </c>
      <c r="Z167" s="14">
        <v>208800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208800</v>
      </c>
      <c r="AM167" s="14">
        <v>188108.11</v>
      </c>
      <c r="AN167" s="14">
        <v>188108.11</v>
      </c>
      <c r="AO167" s="14">
        <v>0</v>
      </c>
      <c r="AP167" s="14">
        <v>188108.11</v>
      </c>
      <c r="AQ167" s="14">
        <v>0</v>
      </c>
      <c r="AR167" s="14">
        <v>188108.11</v>
      </c>
      <c r="AS167" s="14">
        <v>20691.89</v>
      </c>
      <c r="AT167" s="14">
        <v>208800</v>
      </c>
      <c r="AU167" t="s" s="10">
        <v>61</v>
      </c>
      <c r="AV167" t="s" s="10">
        <v>61</v>
      </c>
    </row>
    <row r="168" ht="13.65" customHeight="1">
      <c r="A168" t="s" s="9">
        <v>445</v>
      </c>
      <c r="B168" t="s" s="10">
        <v>49</v>
      </c>
      <c r="C168" s="11" cm="1">
        <f t="array" ref="C168">DATEVALUE("2025-05-14")</f>
        <v>45791</v>
      </c>
      <c r="D168" t="s" s="10">
        <v>438</v>
      </c>
      <c r="E168" t="s" s="10">
        <v>438</v>
      </c>
      <c r="F168" t="s" s="10">
        <v>439</v>
      </c>
      <c r="G168" t="s" s="10">
        <v>440</v>
      </c>
      <c r="H168" t="s" s="10">
        <v>142</v>
      </c>
      <c r="I168" s="12"/>
      <c r="J168" s="12"/>
      <c r="K168" t="s" s="10">
        <v>54</v>
      </c>
      <c r="L168" t="s" s="10">
        <v>55</v>
      </c>
      <c r="M168" s="12"/>
      <c r="N168" t="s" s="10">
        <v>56</v>
      </c>
      <c r="O168" t="s" s="10">
        <v>57</v>
      </c>
      <c r="P168" s="13">
        <v>4100000056</v>
      </c>
      <c r="Q168" s="12"/>
      <c r="R168" t="s" s="10">
        <v>58</v>
      </c>
      <c r="S168" s="14">
        <v>1</v>
      </c>
      <c r="T168" t="s" s="10">
        <v>65</v>
      </c>
      <c r="U168" s="14">
        <v>24</v>
      </c>
      <c r="V168" t="s" s="10">
        <v>152</v>
      </c>
      <c r="W168" s="14">
        <v>0</v>
      </c>
      <c r="X168" s="14">
        <v>208800</v>
      </c>
      <c r="Y168" s="14">
        <v>208800</v>
      </c>
      <c r="Z168" s="14">
        <v>208800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208800</v>
      </c>
      <c r="AM168" s="14">
        <v>188108.11</v>
      </c>
      <c r="AN168" s="14">
        <v>188108.11</v>
      </c>
      <c r="AO168" s="14">
        <v>0</v>
      </c>
      <c r="AP168" s="14">
        <v>188108.11</v>
      </c>
      <c r="AQ168" s="14">
        <v>0</v>
      </c>
      <c r="AR168" s="14">
        <v>188108.11</v>
      </c>
      <c r="AS168" s="14">
        <v>20691.89</v>
      </c>
      <c r="AT168" s="14">
        <v>208800</v>
      </c>
      <c r="AU168" t="s" s="10">
        <v>61</v>
      </c>
      <c r="AV168" t="s" s="10">
        <v>61</v>
      </c>
    </row>
    <row r="169" ht="13.65" customHeight="1">
      <c r="A169" t="s" s="9">
        <v>446</v>
      </c>
      <c r="B169" t="s" s="10">
        <v>49</v>
      </c>
      <c r="C169" s="11" cm="1">
        <f t="array" ref="C169">DATEVALUE("2025-05-14")</f>
        <v>45791</v>
      </c>
      <c r="D169" t="s" s="10">
        <v>438</v>
      </c>
      <c r="E169" t="s" s="10">
        <v>438</v>
      </c>
      <c r="F169" t="s" s="10">
        <v>439</v>
      </c>
      <c r="G169" t="s" s="10">
        <v>440</v>
      </c>
      <c r="H169" t="s" s="10">
        <v>142</v>
      </c>
      <c r="I169" s="12"/>
      <c r="J169" s="12"/>
      <c r="K169" t="s" s="10">
        <v>54</v>
      </c>
      <c r="L169" t="s" s="10">
        <v>55</v>
      </c>
      <c r="M169" s="12"/>
      <c r="N169" t="s" s="10">
        <v>56</v>
      </c>
      <c r="O169" t="s" s="10">
        <v>57</v>
      </c>
      <c r="P169" s="13">
        <v>4100000967</v>
      </c>
      <c r="Q169" s="12"/>
      <c r="R169" t="s" s="10">
        <v>58</v>
      </c>
      <c r="S169" s="14">
        <v>1</v>
      </c>
      <c r="T169" t="s" s="10">
        <v>65</v>
      </c>
      <c r="U169" s="14">
        <v>24</v>
      </c>
      <c r="V169" t="s" s="10">
        <v>60</v>
      </c>
      <c r="W169" s="14">
        <v>0</v>
      </c>
      <c r="X169" s="14">
        <v>326945.46</v>
      </c>
      <c r="Y169" s="14">
        <v>326945.46</v>
      </c>
      <c r="Z169" s="14">
        <v>326945.46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326945.46</v>
      </c>
      <c r="AM169" s="14">
        <v>294545.46</v>
      </c>
      <c r="AN169" s="14">
        <v>294545.46</v>
      </c>
      <c r="AO169" s="14">
        <v>0</v>
      </c>
      <c r="AP169" s="14">
        <v>294545.46</v>
      </c>
      <c r="AQ169" s="14">
        <v>0</v>
      </c>
      <c r="AR169" s="14">
        <v>294545.46</v>
      </c>
      <c r="AS169" s="14">
        <v>32400</v>
      </c>
      <c r="AT169" s="14">
        <v>326945.46</v>
      </c>
      <c r="AU169" t="s" s="10">
        <v>61</v>
      </c>
      <c r="AV169" t="s" s="10">
        <v>61</v>
      </c>
    </row>
    <row r="170" ht="13.65" customHeight="1">
      <c r="A170" t="s" s="9">
        <v>447</v>
      </c>
      <c r="B170" t="s" s="10">
        <v>49</v>
      </c>
      <c r="C170" s="11" cm="1">
        <f t="array" ref="C170">DATEVALUE("2025-05-14")</f>
        <v>45791</v>
      </c>
      <c r="D170" t="s" s="10">
        <v>438</v>
      </c>
      <c r="E170" t="s" s="10">
        <v>438</v>
      </c>
      <c r="F170" t="s" s="10">
        <v>439</v>
      </c>
      <c r="G170" t="s" s="10">
        <v>440</v>
      </c>
      <c r="H170" t="s" s="10">
        <v>142</v>
      </c>
      <c r="I170" s="12"/>
      <c r="J170" s="12"/>
      <c r="K170" t="s" s="10">
        <v>54</v>
      </c>
      <c r="L170" t="s" s="10">
        <v>55</v>
      </c>
      <c r="M170" s="12"/>
      <c r="N170" t="s" s="10">
        <v>56</v>
      </c>
      <c r="O170" t="s" s="10">
        <v>57</v>
      </c>
      <c r="P170" s="13">
        <v>4100000852</v>
      </c>
      <c r="Q170" s="12"/>
      <c r="R170" t="s" s="10">
        <v>58</v>
      </c>
      <c r="S170" s="14">
        <v>6</v>
      </c>
      <c r="T170" t="s" s="10">
        <v>131</v>
      </c>
      <c r="U170" s="14">
        <v>72</v>
      </c>
      <c r="V170" t="s" s="10">
        <v>60</v>
      </c>
      <c r="W170" s="14">
        <v>0</v>
      </c>
      <c r="X170" s="14">
        <v>10725.6</v>
      </c>
      <c r="Y170" s="14">
        <v>10725.6</v>
      </c>
      <c r="Z170" s="14">
        <v>64353.6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64353.6</v>
      </c>
      <c r="AM170" s="14">
        <v>9662.700000000001</v>
      </c>
      <c r="AN170" s="14">
        <v>57976.22</v>
      </c>
      <c r="AO170" s="14">
        <v>0</v>
      </c>
      <c r="AP170" s="14">
        <v>57976.22</v>
      </c>
      <c r="AQ170" s="14">
        <v>0</v>
      </c>
      <c r="AR170" s="14">
        <v>57976.22</v>
      </c>
      <c r="AS170" s="14">
        <v>6377.38</v>
      </c>
      <c r="AT170" s="14">
        <v>64353.6</v>
      </c>
      <c r="AU170" t="s" s="10">
        <v>61</v>
      </c>
      <c r="AV170" t="s" s="10">
        <v>61</v>
      </c>
    </row>
    <row r="171" ht="13.65" customHeight="1">
      <c r="A171" t="s" s="9">
        <v>448</v>
      </c>
      <c r="B171" t="s" s="10">
        <v>49</v>
      </c>
      <c r="C171" s="11" cm="1">
        <f t="array" ref="C171">DATEVALUE("2025-05-14")</f>
        <v>45791</v>
      </c>
      <c r="D171" t="s" s="10">
        <v>438</v>
      </c>
      <c r="E171" t="s" s="10">
        <v>438</v>
      </c>
      <c r="F171" t="s" s="10">
        <v>439</v>
      </c>
      <c r="G171" t="s" s="10">
        <v>440</v>
      </c>
      <c r="H171" t="s" s="10">
        <v>142</v>
      </c>
      <c r="I171" s="12"/>
      <c r="J171" s="12"/>
      <c r="K171" t="s" s="10">
        <v>54</v>
      </c>
      <c r="L171" t="s" s="10">
        <v>55</v>
      </c>
      <c r="M171" s="12"/>
      <c r="N171" t="s" s="10">
        <v>56</v>
      </c>
      <c r="O171" t="s" s="10">
        <v>57</v>
      </c>
      <c r="P171" s="13">
        <v>4100000575</v>
      </c>
      <c r="Q171" s="12"/>
      <c r="R171" t="s" s="10">
        <v>58</v>
      </c>
      <c r="S171" s="14">
        <v>1</v>
      </c>
      <c r="T171" t="s" s="10">
        <v>65</v>
      </c>
      <c r="U171" s="14">
        <v>12</v>
      </c>
      <c r="V171" t="s" s="10">
        <v>60</v>
      </c>
      <c r="W171" s="14">
        <v>0</v>
      </c>
      <c r="X171" s="14">
        <v>266400</v>
      </c>
      <c r="Y171" s="14">
        <v>266400</v>
      </c>
      <c r="Z171" s="14">
        <v>266400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266400</v>
      </c>
      <c r="AM171" s="14">
        <v>240000</v>
      </c>
      <c r="AN171" s="14">
        <v>240000</v>
      </c>
      <c r="AO171" s="14">
        <v>0</v>
      </c>
      <c r="AP171" s="14">
        <v>240000</v>
      </c>
      <c r="AQ171" s="14">
        <v>0</v>
      </c>
      <c r="AR171" s="14">
        <v>240000</v>
      </c>
      <c r="AS171" s="14">
        <v>26400</v>
      </c>
      <c r="AT171" s="14">
        <v>266400</v>
      </c>
      <c r="AU171" t="s" s="10">
        <v>61</v>
      </c>
      <c r="AV171" t="s" s="10">
        <v>61</v>
      </c>
    </row>
    <row r="172" ht="13.65" customHeight="1">
      <c r="A172" t="s" s="9">
        <v>449</v>
      </c>
      <c r="B172" t="s" s="10">
        <v>49</v>
      </c>
      <c r="C172" s="11" cm="1">
        <f t="array" ref="C172">DATEVALUE("2025-05-14")</f>
        <v>45791</v>
      </c>
      <c r="D172" t="s" s="10">
        <v>438</v>
      </c>
      <c r="E172" t="s" s="10">
        <v>438</v>
      </c>
      <c r="F172" t="s" s="10">
        <v>439</v>
      </c>
      <c r="G172" t="s" s="10">
        <v>440</v>
      </c>
      <c r="H172" t="s" s="10">
        <v>142</v>
      </c>
      <c r="I172" s="12"/>
      <c r="J172" s="12"/>
      <c r="K172" t="s" s="10">
        <v>54</v>
      </c>
      <c r="L172" t="s" s="10">
        <v>55</v>
      </c>
      <c r="M172" s="12"/>
      <c r="N172" t="s" s="10">
        <v>56</v>
      </c>
      <c r="O172" t="s" s="10">
        <v>57</v>
      </c>
      <c r="P172" t="s" s="10">
        <v>102</v>
      </c>
      <c r="Q172" s="12"/>
      <c r="R172" t="s" s="10">
        <v>58</v>
      </c>
      <c r="S172" s="14">
        <v>12</v>
      </c>
      <c r="T172" t="s" s="10">
        <v>60</v>
      </c>
      <c r="U172" s="14">
        <v>12</v>
      </c>
      <c r="V172" t="s" s="10">
        <v>60</v>
      </c>
      <c r="W172" s="14">
        <v>0</v>
      </c>
      <c r="X172" s="14">
        <v>5750</v>
      </c>
      <c r="Y172" s="14">
        <v>5750</v>
      </c>
      <c r="Z172" s="14">
        <v>69000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69000</v>
      </c>
      <c r="AM172" s="14">
        <v>5180.18</v>
      </c>
      <c r="AN172" s="14">
        <v>62162.16</v>
      </c>
      <c r="AO172" s="14">
        <v>0</v>
      </c>
      <c r="AP172" s="14">
        <v>62162.16</v>
      </c>
      <c r="AQ172" s="14">
        <v>0</v>
      </c>
      <c r="AR172" s="14">
        <v>62162.16</v>
      </c>
      <c r="AS172" s="14">
        <v>6837.84</v>
      </c>
      <c r="AT172" s="14">
        <v>69000</v>
      </c>
      <c r="AU172" t="s" s="10">
        <v>61</v>
      </c>
      <c r="AV172" t="s" s="10">
        <v>61</v>
      </c>
    </row>
    <row r="173" ht="13.65" customHeight="1">
      <c r="A173" t="s" s="9">
        <v>450</v>
      </c>
      <c r="B173" t="s" s="10">
        <v>49</v>
      </c>
      <c r="C173" s="11" cm="1">
        <f t="array" ref="C173">DATEVALUE("2025-05-14")</f>
        <v>45791</v>
      </c>
      <c r="D173" t="s" s="10">
        <v>438</v>
      </c>
      <c r="E173" t="s" s="10">
        <v>438</v>
      </c>
      <c r="F173" t="s" s="10">
        <v>439</v>
      </c>
      <c r="G173" t="s" s="10">
        <v>440</v>
      </c>
      <c r="H173" t="s" s="10">
        <v>142</v>
      </c>
      <c r="I173" s="12"/>
      <c r="J173" s="12"/>
      <c r="K173" t="s" s="10">
        <v>54</v>
      </c>
      <c r="L173" t="s" s="10">
        <v>55</v>
      </c>
      <c r="M173" s="12"/>
      <c r="N173" t="s" s="10">
        <v>56</v>
      </c>
      <c r="O173" t="s" s="10">
        <v>57</v>
      </c>
      <c r="P173" s="13">
        <v>4100001078</v>
      </c>
      <c r="Q173" s="12"/>
      <c r="R173" t="s" s="10">
        <v>58</v>
      </c>
      <c r="S173" s="14">
        <v>12</v>
      </c>
      <c r="T173" t="s" s="10">
        <v>60</v>
      </c>
      <c r="U173" s="14">
        <v>12</v>
      </c>
      <c r="V173" t="s" s="10">
        <v>60</v>
      </c>
      <c r="W173" s="14">
        <v>0</v>
      </c>
      <c r="X173" s="14">
        <v>5750</v>
      </c>
      <c r="Y173" s="14">
        <v>5750</v>
      </c>
      <c r="Z173" s="14">
        <v>69000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69000</v>
      </c>
      <c r="AM173" s="14">
        <v>5180.18</v>
      </c>
      <c r="AN173" s="14">
        <v>62162.16</v>
      </c>
      <c r="AO173" s="14">
        <v>0</v>
      </c>
      <c r="AP173" s="14">
        <v>62162.16</v>
      </c>
      <c r="AQ173" s="14">
        <v>0</v>
      </c>
      <c r="AR173" s="14">
        <v>62162.16</v>
      </c>
      <c r="AS173" s="14">
        <v>6837.84</v>
      </c>
      <c r="AT173" s="14">
        <v>69000</v>
      </c>
      <c r="AU173" t="s" s="10">
        <v>61</v>
      </c>
      <c r="AV173" t="s" s="10">
        <v>61</v>
      </c>
    </row>
    <row r="174" ht="13.65" customHeight="1">
      <c r="A174" t="s" s="9">
        <v>451</v>
      </c>
      <c r="B174" t="s" s="10">
        <v>49</v>
      </c>
      <c r="C174" s="11" cm="1">
        <f t="array" ref="C174">DATEVALUE("2025-05-14")</f>
        <v>45791</v>
      </c>
      <c r="D174" t="s" s="10">
        <v>438</v>
      </c>
      <c r="E174" t="s" s="10">
        <v>438</v>
      </c>
      <c r="F174" t="s" s="10">
        <v>439</v>
      </c>
      <c r="G174" t="s" s="10">
        <v>440</v>
      </c>
      <c r="H174" t="s" s="10">
        <v>142</v>
      </c>
      <c r="I174" s="12"/>
      <c r="J174" s="12"/>
      <c r="K174" t="s" s="10">
        <v>54</v>
      </c>
      <c r="L174" t="s" s="10">
        <v>55</v>
      </c>
      <c r="M174" s="12"/>
      <c r="N174" t="s" s="10">
        <v>56</v>
      </c>
      <c r="O174" t="s" s="10">
        <v>57</v>
      </c>
      <c r="P174" t="s" s="10">
        <v>143</v>
      </c>
      <c r="Q174" s="12"/>
      <c r="R174" t="s" s="10">
        <v>58</v>
      </c>
      <c r="S174" s="14">
        <v>12</v>
      </c>
      <c r="T174" t="s" s="10">
        <v>60</v>
      </c>
      <c r="U174" s="14">
        <v>12</v>
      </c>
      <c r="V174" t="s" s="10">
        <v>60</v>
      </c>
      <c r="W174" s="14">
        <v>0</v>
      </c>
      <c r="X174" s="14">
        <v>5750</v>
      </c>
      <c r="Y174" s="14">
        <v>5750</v>
      </c>
      <c r="Z174" s="14">
        <v>69000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69000</v>
      </c>
      <c r="AM174" s="14">
        <v>5180.18</v>
      </c>
      <c r="AN174" s="14">
        <v>62162.16</v>
      </c>
      <c r="AO174" s="14">
        <v>0</v>
      </c>
      <c r="AP174" s="14">
        <v>62162.16</v>
      </c>
      <c r="AQ174" s="14">
        <v>0</v>
      </c>
      <c r="AR174" s="14">
        <v>62162.16</v>
      </c>
      <c r="AS174" s="14">
        <v>6837.84</v>
      </c>
      <c r="AT174" s="14">
        <v>69000</v>
      </c>
      <c r="AU174" t="s" s="10">
        <v>61</v>
      </c>
      <c r="AV174" t="s" s="10">
        <v>61</v>
      </c>
    </row>
    <row r="175" ht="13.65" customHeight="1">
      <c r="A175" t="s" s="9">
        <v>452</v>
      </c>
      <c r="B175" t="s" s="10">
        <v>49</v>
      </c>
      <c r="C175" s="11" cm="1">
        <f t="array" ref="C175">DATEVALUE("2025-05-14")</f>
        <v>45791</v>
      </c>
      <c r="D175" t="s" s="10">
        <v>438</v>
      </c>
      <c r="E175" t="s" s="10">
        <v>438</v>
      </c>
      <c r="F175" t="s" s="10">
        <v>439</v>
      </c>
      <c r="G175" t="s" s="10">
        <v>440</v>
      </c>
      <c r="H175" t="s" s="10">
        <v>142</v>
      </c>
      <c r="I175" s="12"/>
      <c r="J175" s="12"/>
      <c r="K175" t="s" s="10">
        <v>54</v>
      </c>
      <c r="L175" t="s" s="10">
        <v>55</v>
      </c>
      <c r="M175" s="12"/>
      <c r="N175" t="s" s="10">
        <v>56</v>
      </c>
      <c r="O175" t="s" s="10">
        <v>57</v>
      </c>
      <c r="P175" t="s" s="10">
        <v>453</v>
      </c>
      <c r="Q175" s="12"/>
      <c r="R175" t="s" s="10">
        <v>58</v>
      </c>
      <c r="S175" s="14">
        <v>2</v>
      </c>
      <c r="T175" t="s" s="10">
        <v>131</v>
      </c>
      <c r="U175" s="14">
        <v>20</v>
      </c>
      <c r="V175" t="s" s="10">
        <v>60</v>
      </c>
      <c r="W175" s="14">
        <v>0</v>
      </c>
      <c r="X175" s="14">
        <v>22000</v>
      </c>
      <c r="Y175" s="14">
        <v>22000</v>
      </c>
      <c r="Z175" s="14">
        <v>44000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44000</v>
      </c>
      <c r="AM175" s="14">
        <v>19819.82</v>
      </c>
      <c r="AN175" s="14">
        <v>39639.64</v>
      </c>
      <c r="AO175" s="14">
        <v>0</v>
      </c>
      <c r="AP175" s="14">
        <v>39639.64</v>
      </c>
      <c r="AQ175" s="14">
        <v>0</v>
      </c>
      <c r="AR175" s="14">
        <v>39639.64</v>
      </c>
      <c r="AS175" s="14">
        <v>4360.36</v>
      </c>
      <c r="AT175" s="14">
        <v>44000</v>
      </c>
      <c r="AU175" t="s" s="10">
        <v>61</v>
      </c>
      <c r="AV175" t="s" s="10">
        <v>61</v>
      </c>
    </row>
    <row r="176" ht="13.65" customHeight="1">
      <c r="A176" t="s" s="9">
        <v>454</v>
      </c>
      <c r="B176" t="s" s="10">
        <v>49</v>
      </c>
      <c r="C176" s="11" cm="1">
        <f t="array" ref="C176">DATEVALUE("2025-05-14")</f>
        <v>45791</v>
      </c>
      <c r="D176" t="s" s="10">
        <v>438</v>
      </c>
      <c r="E176" t="s" s="10">
        <v>438</v>
      </c>
      <c r="F176" t="s" s="10">
        <v>439</v>
      </c>
      <c r="G176" t="s" s="10">
        <v>440</v>
      </c>
      <c r="H176" t="s" s="10">
        <v>142</v>
      </c>
      <c r="I176" s="12"/>
      <c r="J176" s="12"/>
      <c r="K176" t="s" s="10">
        <v>54</v>
      </c>
      <c r="L176" t="s" s="10">
        <v>55</v>
      </c>
      <c r="M176" s="12"/>
      <c r="N176" t="s" s="10">
        <v>56</v>
      </c>
      <c r="O176" t="s" s="10">
        <v>57</v>
      </c>
      <c r="P176" s="13">
        <v>4100000871</v>
      </c>
      <c r="Q176" s="12"/>
      <c r="R176" t="s" s="10">
        <v>58</v>
      </c>
      <c r="S176" s="14">
        <v>2</v>
      </c>
      <c r="T176" t="s" s="10">
        <v>131</v>
      </c>
      <c r="U176" s="14">
        <v>2</v>
      </c>
      <c r="V176" t="s" s="10">
        <v>131</v>
      </c>
      <c r="W176" s="14">
        <v>0</v>
      </c>
      <c r="X176" s="14">
        <v>22000</v>
      </c>
      <c r="Y176" s="14">
        <v>22000</v>
      </c>
      <c r="Z176" s="14">
        <v>44000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44000</v>
      </c>
      <c r="AM176" s="14">
        <v>19819.82</v>
      </c>
      <c r="AN176" s="14">
        <v>39639.64</v>
      </c>
      <c r="AO176" s="14">
        <v>0</v>
      </c>
      <c r="AP176" s="14">
        <v>39639.64</v>
      </c>
      <c r="AQ176" s="14">
        <v>0</v>
      </c>
      <c r="AR176" s="14">
        <v>39639.64</v>
      </c>
      <c r="AS176" s="14">
        <v>4360.36</v>
      </c>
      <c r="AT176" s="14">
        <v>44000</v>
      </c>
      <c r="AU176" t="s" s="10">
        <v>61</v>
      </c>
      <c r="AV176" t="s" s="10">
        <v>61</v>
      </c>
    </row>
    <row r="177" ht="13.65" customHeight="1">
      <c r="A177" t="s" s="9">
        <v>455</v>
      </c>
      <c r="B177" t="s" s="10">
        <v>49</v>
      </c>
      <c r="C177" s="11" cm="1">
        <f t="array" ref="C177">DATEVALUE("2025-05-14")</f>
        <v>45791</v>
      </c>
      <c r="D177" t="s" s="10">
        <v>438</v>
      </c>
      <c r="E177" t="s" s="10">
        <v>438</v>
      </c>
      <c r="F177" t="s" s="10">
        <v>439</v>
      </c>
      <c r="G177" t="s" s="10">
        <v>440</v>
      </c>
      <c r="H177" t="s" s="10">
        <v>142</v>
      </c>
      <c r="I177" s="12"/>
      <c r="J177" s="12"/>
      <c r="K177" t="s" s="10">
        <v>54</v>
      </c>
      <c r="L177" t="s" s="10">
        <v>55</v>
      </c>
      <c r="M177" s="12"/>
      <c r="N177" t="s" s="10">
        <v>56</v>
      </c>
      <c r="O177" t="s" s="10">
        <v>57</v>
      </c>
      <c r="P177" s="13">
        <v>4100000878</v>
      </c>
      <c r="Q177" s="12"/>
      <c r="R177" t="s" s="10">
        <v>58</v>
      </c>
      <c r="S177" s="14">
        <v>2</v>
      </c>
      <c r="T177" t="s" s="10">
        <v>131</v>
      </c>
      <c r="U177" s="14">
        <v>2</v>
      </c>
      <c r="V177" t="s" s="10">
        <v>131</v>
      </c>
      <c r="W177" s="14">
        <v>0</v>
      </c>
      <c r="X177" s="14">
        <v>22000</v>
      </c>
      <c r="Y177" s="14">
        <v>22000</v>
      </c>
      <c r="Z177" s="14">
        <v>44000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44000</v>
      </c>
      <c r="AM177" s="14">
        <v>19819.82</v>
      </c>
      <c r="AN177" s="14">
        <v>39639.64</v>
      </c>
      <c r="AO177" s="14">
        <v>0</v>
      </c>
      <c r="AP177" s="14">
        <v>39639.64</v>
      </c>
      <c r="AQ177" s="14">
        <v>0</v>
      </c>
      <c r="AR177" s="14">
        <v>39639.64</v>
      </c>
      <c r="AS177" s="14">
        <v>4360.36</v>
      </c>
      <c r="AT177" s="14">
        <v>44000</v>
      </c>
      <c r="AU177" t="s" s="10">
        <v>61</v>
      </c>
      <c r="AV177" t="s" s="10">
        <v>61</v>
      </c>
    </row>
    <row r="178" ht="13.65" customHeight="1">
      <c r="A178" t="s" s="9">
        <v>456</v>
      </c>
      <c r="B178" t="s" s="10">
        <v>49</v>
      </c>
      <c r="C178" s="11" cm="1">
        <f t="array" ref="C178">DATEVALUE("2025-05-14")</f>
        <v>45791</v>
      </c>
      <c r="D178" t="s" s="10">
        <v>438</v>
      </c>
      <c r="E178" t="s" s="10">
        <v>438</v>
      </c>
      <c r="F178" t="s" s="10">
        <v>439</v>
      </c>
      <c r="G178" t="s" s="10">
        <v>440</v>
      </c>
      <c r="H178" t="s" s="10">
        <v>142</v>
      </c>
      <c r="I178" s="12"/>
      <c r="J178" s="12"/>
      <c r="K178" t="s" s="10">
        <v>54</v>
      </c>
      <c r="L178" t="s" s="10">
        <v>55</v>
      </c>
      <c r="M178" s="12"/>
      <c r="N178" t="s" s="10">
        <v>56</v>
      </c>
      <c r="O178" t="s" s="10">
        <v>57</v>
      </c>
      <c r="P178" s="13">
        <v>4100001374</v>
      </c>
      <c r="Q178" s="12"/>
      <c r="R178" t="s" s="10">
        <v>58</v>
      </c>
      <c r="S178" s="14">
        <v>1</v>
      </c>
      <c r="T178" t="s" s="10">
        <v>123</v>
      </c>
      <c r="U178" s="14">
        <v>10</v>
      </c>
      <c r="V178" t="s" s="10">
        <v>60</v>
      </c>
      <c r="W178" s="14">
        <v>0</v>
      </c>
      <c r="X178" s="14">
        <v>17208.3</v>
      </c>
      <c r="Y178" s="14">
        <v>17208.3</v>
      </c>
      <c r="Z178" s="14">
        <v>17208.3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17208.3</v>
      </c>
      <c r="AM178" s="14">
        <v>15502.97</v>
      </c>
      <c r="AN178" s="14">
        <v>15502.97</v>
      </c>
      <c r="AO178" s="14">
        <v>0</v>
      </c>
      <c r="AP178" s="14">
        <v>15502.97</v>
      </c>
      <c r="AQ178" s="14">
        <v>0</v>
      </c>
      <c r="AR178" s="14">
        <v>15502.97</v>
      </c>
      <c r="AS178" s="14">
        <v>1705.33</v>
      </c>
      <c r="AT178" s="14">
        <v>17208.3</v>
      </c>
      <c r="AU178" t="s" s="10">
        <v>61</v>
      </c>
      <c r="AV178" t="s" s="10">
        <v>61</v>
      </c>
    </row>
    <row r="179" ht="13.65" customHeight="1">
      <c r="A179" t="s" s="9">
        <v>457</v>
      </c>
      <c r="B179" t="s" s="10">
        <v>49</v>
      </c>
      <c r="C179" s="11" cm="1">
        <f t="array" ref="C179">DATEVALUE("2025-05-14")</f>
        <v>45791</v>
      </c>
      <c r="D179" t="s" s="10">
        <v>438</v>
      </c>
      <c r="E179" t="s" s="10">
        <v>438</v>
      </c>
      <c r="F179" t="s" s="10">
        <v>439</v>
      </c>
      <c r="G179" t="s" s="10">
        <v>440</v>
      </c>
      <c r="H179" t="s" s="10">
        <v>142</v>
      </c>
      <c r="I179" s="12"/>
      <c r="J179" s="12"/>
      <c r="K179" t="s" s="10">
        <v>54</v>
      </c>
      <c r="L179" t="s" s="10">
        <v>55</v>
      </c>
      <c r="M179" s="12"/>
      <c r="N179" t="s" s="10">
        <v>56</v>
      </c>
      <c r="O179" t="s" s="10">
        <v>57</v>
      </c>
      <c r="P179" s="13">
        <v>4100000909</v>
      </c>
      <c r="Q179" s="12"/>
      <c r="R179" t="s" s="10">
        <v>58</v>
      </c>
      <c r="S179" s="14">
        <v>2</v>
      </c>
      <c r="T179" t="s" s="10">
        <v>65</v>
      </c>
      <c r="U179" s="14">
        <v>32</v>
      </c>
      <c r="V179" t="s" s="10">
        <v>60</v>
      </c>
      <c r="W179" s="14">
        <v>0</v>
      </c>
      <c r="X179" s="14">
        <v>132000</v>
      </c>
      <c r="Y179" s="14">
        <v>132000</v>
      </c>
      <c r="Z179" s="14">
        <v>264000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264000</v>
      </c>
      <c r="AM179" s="14">
        <v>118918.92</v>
      </c>
      <c r="AN179" s="14">
        <v>237837.84</v>
      </c>
      <c r="AO179" s="14">
        <v>0</v>
      </c>
      <c r="AP179" s="14">
        <v>237837.84</v>
      </c>
      <c r="AQ179" s="14">
        <v>0</v>
      </c>
      <c r="AR179" s="14">
        <v>237837.84</v>
      </c>
      <c r="AS179" s="14">
        <v>26162.16</v>
      </c>
      <c r="AT179" s="14">
        <v>264000</v>
      </c>
      <c r="AU179" t="s" s="10">
        <v>61</v>
      </c>
      <c r="AV179" t="s" s="10">
        <v>61</v>
      </c>
    </row>
    <row r="180" ht="13.65" customHeight="1">
      <c r="A180" t="s" s="9">
        <v>458</v>
      </c>
      <c r="B180" t="s" s="10">
        <v>49</v>
      </c>
      <c r="C180" s="11" cm="1">
        <f t="array" ref="C180">DATEVALUE("2025-05-14")</f>
        <v>45791</v>
      </c>
      <c r="D180" t="s" s="10">
        <v>438</v>
      </c>
      <c r="E180" t="s" s="10">
        <v>438</v>
      </c>
      <c r="F180" t="s" s="10">
        <v>439</v>
      </c>
      <c r="G180" t="s" s="10">
        <v>440</v>
      </c>
      <c r="H180" t="s" s="10">
        <v>142</v>
      </c>
      <c r="I180" s="12"/>
      <c r="J180" s="12"/>
      <c r="K180" t="s" s="10">
        <v>54</v>
      </c>
      <c r="L180" t="s" s="10">
        <v>55</v>
      </c>
      <c r="M180" s="12"/>
      <c r="N180" t="s" s="10">
        <v>56</v>
      </c>
      <c r="O180" t="s" s="10">
        <v>57</v>
      </c>
      <c r="P180" s="13">
        <v>4100000920</v>
      </c>
      <c r="Q180" s="12"/>
      <c r="R180" t="s" s="10">
        <v>58</v>
      </c>
      <c r="S180" s="14">
        <v>2</v>
      </c>
      <c r="T180" t="s" s="10">
        <v>65</v>
      </c>
      <c r="U180" s="14">
        <v>32</v>
      </c>
      <c r="V180" t="s" s="10">
        <v>60</v>
      </c>
      <c r="W180" s="14">
        <v>0</v>
      </c>
      <c r="X180" s="14">
        <v>132000</v>
      </c>
      <c r="Y180" s="14">
        <v>132000</v>
      </c>
      <c r="Z180" s="14">
        <v>264000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264000</v>
      </c>
      <c r="AM180" s="14">
        <v>118918.92</v>
      </c>
      <c r="AN180" s="14">
        <v>237837.84</v>
      </c>
      <c r="AO180" s="14">
        <v>0</v>
      </c>
      <c r="AP180" s="14">
        <v>237837.84</v>
      </c>
      <c r="AQ180" s="14">
        <v>0</v>
      </c>
      <c r="AR180" s="14">
        <v>237837.84</v>
      </c>
      <c r="AS180" s="14">
        <v>26162.16</v>
      </c>
      <c r="AT180" s="14">
        <v>264000</v>
      </c>
      <c r="AU180" t="s" s="10">
        <v>61</v>
      </c>
      <c r="AV180" t="s" s="10">
        <v>61</v>
      </c>
    </row>
    <row r="181" ht="13.65" customHeight="1">
      <c r="A181" t="s" s="9">
        <v>459</v>
      </c>
      <c r="B181" t="s" s="10">
        <v>49</v>
      </c>
      <c r="C181" s="11" cm="1">
        <f t="array" ref="C181">DATEVALUE("2025-05-14")</f>
        <v>45791</v>
      </c>
      <c r="D181" t="s" s="10">
        <v>438</v>
      </c>
      <c r="E181" t="s" s="10">
        <v>438</v>
      </c>
      <c r="F181" t="s" s="10">
        <v>439</v>
      </c>
      <c r="G181" t="s" s="10">
        <v>440</v>
      </c>
      <c r="H181" t="s" s="10">
        <v>142</v>
      </c>
      <c r="I181" s="12"/>
      <c r="J181" s="12"/>
      <c r="K181" t="s" s="10">
        <v>54</v>
      </c>
      <c r="L181" t="s" s="10">
        <v>55</v>
      </c>
      <c r="M181" s="12"/>
      <c r="N181" t="s" s="10">
        <v>56</v>
      </c>
      <c r="O181" t="s" s="10">
        <v>57</v>
      </c>
      <c r="P181" s="13">
        <v>4100001284</v>
      </c>
      <c r="Q181" s="12"/>
      <c r="R181" t="s" s="10">
        <v>58</v>
      </c>
      <c r="S181" s="14">
        <v>2</v>
      </c>
      <c r="T181" t="s" s="10">
        <v>65</v>
      </c>
      <c r="U181" s="14">
        <v>48</v>
      </c>
      <c r="V181" t="s" s="10">
        <v>60</v>
      </c>
      <c r="W181" s="14">
        <v>0</v>
      </c>
      <c r="X181" s="14">
        <v>111600</v>
      </c>
      <c r="Y181" s="14">
        <v>111600</v>
      </c>
      <c r="Z181" s="14">
        <v>223200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223200</v>
      </c>
      <c r="AM181" s="14">
        <v>100540.54</v>
      </c>
      <c r="AN181" s="14">
        <v>201081.08</v>
      </c>
      <c r="AO181" s="14">
        <v>0</v>
      </c>
      <c r="AP181" s="14">
        <v>201081.08</v>
      </c>
      <c r="AQ181" s="14">
        <v>0</v>
      </c>
      <c r="AR181" s="14">
        <v>201081.08</v>
      </c>
      <c r="AS181" s="14">
        <v>22118.92</v>
      </c>
      <c r="AT181" s="14">
        <v>223200</v>
      </c>
      <c r="AU181" t="s" s="10">
        <v>61</v>
      </c>
      <c r="AV181" t="s" s="10">
        <v>61</v>
      </c>
    </row>
    <row r="182" ht="13.65" customHeight="1">
      <c r="A182" t="s" s="9">
        <v>460</v>
      </c>
      <c r="B182" t="s" s="10">
        <v>49</v>
      </c>
      <c r="C182" s="11" cm="1">
        <f t="array" ref="C182">DATEVALUE("2025-05-14")</f>
        <v>45791</v>
      </c>
      <c r="D182" t="s" s="10">
        <v>438</v>
      </c>
      <c r="E182" t="s" s="10">
        <v>438</v>
      </c>
      <c r="F182" t="s" s="10">
        <v>439</v>
      </c>
      <c r="G182" t="s" s="10">
        <v>440</v>
      </c>
      <c r="H182" t="s" s="10">
        <v>142</v>
      </c>
      <c r="I182" s="12"/>
      <c r="J182" s="12"/>
      <c r="K182" t="s" s="10">
        <v>54</v>
      </c>
      <c r="L182" t="s" s="10">
        <v>55</v>
      </c>
      <c r="M182" s="12"/>
      <c r="N182" t="s" s="10">
        <v>56</v>
      </c>
      <c r="O182" t="s" s="10">
        <v>57</v>
      </c>
      <c r="P182" s="13">
        <v>4100001206</v>
      </c>
      <c r="Q182" s="12"/>
      <c r="R182" t="s" s="10">
        <v>58</v>
      </c>
      <c r="S182" s="14">
        <v>2</v>
      </c>
      <c r="T182" t="s" s="10">
        <v>65</v>
      </c>
      <c r="U182" s="14">
        <v>120</v>
      </c>
      <c r="V182" t="s" s="10">
        <v>60</v>
      </c>
      <c r="W182" s="14">
        <v>0</v>
      </c>
      <c r="X182" s="14">
        <v>102300</v>
      </c>
      <c r="Y182" s="14">
        <v>102300</v>
      </c>
      <c r="Z182" s="14">
        <v>204600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204600</v>
      </c>
      <c r="AM182" s="14">
        <v>92162.16</v>
      </c>
      <c r="AN182" s="14">
        <v>184324.32</v>
      </c>
      <c r="AO182" s="14">
        <v>0</v>
      </c>
      <c r="AP182" s="14">
        <v>184324.32</v>
      </c>
      <c r="AQ182" s="14">
        <v>0</v>
      </c>
      <c r="AR182" s="14">
        <v>184324.32</v>
      </c>
      <c r="AS182" s="14">
        <v>20275.68</v>
      </c>
      <c r="AT182" s="14">
        <v>204600</v>
      </c>
      <c r="AU182" t="s" s="10">
        <v>61</v>
      </c>
      <c r="AV182" t="s" s="10">
        <v>61</v>
      </c>
    </row>
    <row r="183" ht="13.65" customHeight="1">
      <c r="A183" t="s" s="9">
        <v>461</v>
      </c>
      <c r="B183" t="s" s="10">
        <v>49</v>
      </c>
      <c r="C183" s="11" cm="1">
        <f t="array" ref="C183">DATEVALUE("2025-05-14")</f>
        <v>45791</v>
      </c>
      <c r="D183" t="s" s="10">
        <v>438</v>
      </c>
      <c r="E183" t="s" s="10">
        <v>438</v>
      </c>
      <c r="F183" t="s" s="10">
        <v>439</v>
      </c>
      <c r="G183" t="s" s="10">
        <v>440</v>
      </c>
      <c r="H183" t="s" s="10">
        <v>142</v>
      </c>
      <c r="I183" s="12"/>
      <c r="J183" s="12"/>
      <c r="K183" t="s" s="10">
        <v>54</v>
      </c>
      <c r="L183" t="s" s="10">
        <v>55</v>
      </c>
      <c r="M183" s="12"/>
      <c r="N183" t="s" s="10">
        <v>56</v>
      </c>
      <c r="O183" t="s" s="10">
        <v>57</v>
      </c>
      <c r="P183" t="s" s="10">
        <v>73</v>
      </c>
      <c r="Q183" s="12"/>
      <c r="R183" t="s" s="10">
        <v>58</v>
      </c>
      <c r="S183" s="14">
        <v>2</v>
      </c>
      <c r="T183" t="s" s="10">
        <v>65</v>
      </c>
      <c r="U183" s="14">
        <v>120</v>
      </c>
      <c r="V183" t="s" s="10">
        <v>60</v>
      </c>
      <c r="W183" s="14">
        <v>0</v>
      </c>
      <c r="X183" s="14">
        <v>102300</v>
      </c>
      <c r="Y183" s="14">
        <v>102300</v>
      </c>
      <c r="Z183" s="14">
        <v>204600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204600</v>
      </c>
      <c r="AM183" s="14">
        <v>92162.16</v>
      </c>
      <c r="AN183" s="14">
        <v>184324.32</v>
      </c>
      <c r="AO183" s="14">
        <v>0</v>
      </c>
      <c r="AP183" s="14">
        <v>184324.32</v>
      </c>
      <c r="AQ183" s="14">
        <v>0</v>
      </c>
      <c r="AR183" s="14">
        <v>184324.32</v>
      </c>
      <c r="AS183" s="14">
        <v>20275.68</v>
      </c>
      <c r="AT183" s="14">
        <v>204600</v>
      </c>
      <c r="AU183" t="s" s="10">
        <v>61</v>
      </c>
      <c r="AV183" t="s" s="10">
        <v>61</v>
      </c>
    </row>
    <row r="184" ht="13.65" customHeight="1">
      <c r="A184" t="s" s="9">
        <v>462</v>
      </c>
      <c r="B184" t="s" s="10">
        <v>49</v>
      </c>
      <c r="C184" s="11" cm="1">
        <f t="array" ref="C184">DATEVALUE("2025-05-14")</f>
        <v>45791</v>
      </c>
      <c r="D184" t="s" s="10">
        <v>438</v>
      </c>
      <c r="E184" t="s" s="10">
        <v>438</v>
      </c>
      <c r="F184" t="s" s="10">
        <v>439</v>
      </c>
      <c r="G184" t="s" s="10">
        <v>440</v>
      </c>
      <c r="H184" t="s" s="10">
        <v>142</v>
      </c>
      <c r="I184" s="12"/>
      <c r="J184" s="12"/>
      <c r="K184" t="s" s="10">
        <v>54</v>
      </c>
      <c r="L184" t="s" s="10">
        <v>55</v>
      </c>
      <c r="M184" s="12"/>
      <c r="N184" t="s" s="10">
        <v>56</v>
      </c>
      <c r="O184" t="s" s="10">
        <v>57</v>
      </c>
      <c r="P184" s="13">
        <v>4100001278</v>
      </c>
      <c r="Q184" s="12"/>
      <c r="R184" t="s" s="10">
        <v>58</v>
      </c>
      <c r="S184" s="14">
        <v>2</v>
      </c>
      <c r="T184" t="s" s="10">
        <v>65</v>
      </c>
      <c r="U184" s="14">
        <v>48</v>
      </c>
      <c r="V184" t="s" s="10">
        <v>60</v>
      </c>
      <c r="W184" s="14">
        <v>0</v>
      </c>
      <c r="X184" s="14">
        <v>127800</v>
      </c>
      <c r="Y184" s="14">
        <v>127800</v>
      </c>
      <c r="Z184" s="14">
        <v>255600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255600</v>
      </c>
      <c r="AM184" s="14">
        <v>115135.14</v>
      </c>
      <c r="AN184" s="14">
        <v>230270.27</v>
      </c>
      <c r="AO184" s="14">
        <v>0</v>
      </c>
      <c r="AP184" s="14">
        <v>230270.27</v>
      </c>
      <c r="AQ184" s="14">
        <v>0</v>
      </c>
      <c r="AR184" s="14">
        <v>230270.27</v>
      </c>
      <c r="AS184" s="14">
        <v>25329.73</v>
      </c>
      <c r="AT184" s="14">
        <v>255600</v>
      </c>
      <c r="AU184" t="s" s="10">
        <v>61</v>
      </c>
      <c r="AV184" t="s" s="10">
        <v>61</v>
      </c>
    </row>
    <row r="185" ht="13.65" customHeight="1">
      <c r="A185" t="s" s="9">
        <v>463</v>
      </c>
      <c r="B185" t="s" s="10">
        <v>49</v>
      </c>
      <c r="C185" s="11" cm="1">
        <f t="array" ref="C185">DATEVALUE("2025-05-14")</f>
        <v>45791</v>
      </c>
      <c r="D185" t="s" s="10">
        <v>438</v>
      </c>
      <c r="E185" t="s" s="10">
        <v>438</v>
      </c>
      <c r="F185" t="s" s="10">
        <v>439</v>
      </c>
      <c r="G185" t="s" s="10">
        <v>440</v>
      </c>
      <c r="H185" t="s" s="10">
        <v>142</v>
      </c>
      <c r="I185" s="12"/>
      <c r="J185" s="12"/>
      <c r="K185" t="s" s="10">
        <v>54</v>
      </c>
      <c r="L185" t="s" s="10">
        <v>55</v>
      </c>
      <c r="M185" s="12"/>
      <c r="N185" t="s" s="10">
        <v>56</v>
      </c>
      <c r="O185" t="s" s="10">
        <v>57</v>
      </c>
      <c r="P185" s="13">
        <v>41000001424</v>
      </c>
      <c r="Q185" s="12"/>
      <c r="R185" t="s" s="10">
        <v>58</v>
      </c>
      <c r="S185" s="14">
        <v>2</v>
      </c>
      <c r="T185" t="s" s="10">
        <v>119</v>
      </c>
      <c r="U185" s="14">
        <v>24</v>
      </c>
      <c r="V185" t="s" s="10">
        <v>120</v>
      </c>
      <c r="W185" s="14">
        <v>0</v>
      </c>
      <c r="X185" s="14">
        <v>90000</v>
      </c>
      <c r="Y185" s="14">
        <v>90000</v>
      </c>
      <c r="Z185" s="14">
        <v>180000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180000</v>
      </c>
      <c r="AM185" s="14">
        <v>81081.08</v>
      </c>
      <c r="AN185" s="14">
        <v>162162.16</v>
      </c>
      <c r="AO185" s="14">
        <v>0</v>
      </c>
      <c r="AP185" s="14">
        <v>162162.16</v>
      </c>
      <c r="AQ185" s="14">
        <v>0</v>
      </c>
      <c r="AR185" s="14">
        <v>162162.16</v>
      </c>
      <c r="AS185" s="14">
        <v>17837.84</v>
      </c>
      <c r="AT185" s="14">
        <v>180000</v>
      </c>
      <c r="AU185" t="s" s="10">
        <v>61</v>
      </c>
      <c r="AV185" t="s" s="10">
        <v>61</v>
      </c>
    </row>
    <row r="186" ht="13.65" customHeight="1">
      <c r="A186" t="s" s="9">
        <v>464</v>
      </c>
      <c r="B186" t="s" s="10">
        <v>49</v>
      </c>
      <c r="C186" s="11" cm="1">
        <f t="array" ref="C186">DATEVALUE("2025-05-14")</f>
        <v>45791</v>
      </c>
      <c r="D186" t="s" s="10">
        <v>438</v>
      </c>
      <c r="E186" t="s" s="10">
        <v>438</v>
      </c>
      <c r="F186" t="s" s="10">
        <v>439</v>
      </c>
      <c r="G186" t="s" s="10">
        <v>440</v>
      </c>
      <c r="H186" t="s" s="10">
        <v>142</v>
      </c>
      <c r="I186" s="12"/>
      <c r="J186" s="12"/>
      <c r="K186" t="s" s="10">
        <v>54</v>
      </c>
      <c r="L186" t="s" s="10">
        <v>55</v>
      </c>
      <c r="M186" s="12"/>
      <c r="N186" t="s" s="10">
        <v>56</v>
      </c>
      <c r="O186" t="s" s="10">
        <v>57</v>
      </c>
      <c r="P186" s="13">
        <v>4100001425</v>
      </c>
      <c r="Q186" s="12"/>
      <c r="R186" t="s" s="10">
        <v>58</v>
      </c>
      <c r="S186" s="14">
        <v>2</v>
      </c>
      <c r="T186" t="s" s="10">
        <v>66</v>
      </c>
      <c r="U186" s="14">
        <v>24</v>
      </c>
      <c r="V186" t="s" s="10">
        <v>120</v>
      </c>
      <c r="W186" s="14">
        <v>0</v>
      </c>
      <c r="X186" s="14">
        <v>100000.08</v>
      </c>
      <c r="Y186" s="14">
        <v>100000.08</v>
      </c>
      <c r="Z186" s="14">
        <v>200000.16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200000.16</v>
      </c>
      <c r="AM186" s="14">
        <v>90090.16</v>
      </c>
      <c r="AN186" s="14">
        <v>180180.32</v>
      </c>
      <c r="AO186" s="14">
        <v>0</v>
      </c>
      <c r="AP186" s="14">
        <v>180180.32</v>
      </c>
      <c r="AQ186" s="14">
        <v>0</v>
      </c>
      <c r="AR186" s="14">
        <v>180180.32</v>
      </c>
      <c r="AS186" s="14">
        <v>19819.83</v>
      </c>
      <c r="AT186" s="14">
        <v>200000.15</v>
      </c>
      <c r="AU186" t="s" s="10">
        <v>61</v>
      </c>
      <c r="AV186" t="s" s="10">
        <v>61</v>
      </c>
    </row>
    <row r="187" ht="13.65" customHeight="1">
      <c r="A187" t="s" s="9">
        <v>465</v>
      </c>
      <c r="B187" t="s" s="10">
        <v>49</v>
      </c>
      <c r="C187" s="11" cm="1">
        <f t="array" ref="C187">DATEVALUE("2025-05-14")</f>
        <v>45791</v>
      </c>
      <c r="D187" t="s" s="10">
        <v>466</v>
      </c>
      <c r="E187" t="s" s="10">
        <v>466</v>
      </c>
      <c r="F187" t="s" s="10">
        <v>467</v>
      </c>
      <c r="G187" t="s" s="10">
        <v>468</v>
      </c>
      <c r="H187" t="s" s="10">
        <v>469</v>
      </c>
      <c r="I187" s="12"/>
      <c r="J187" s="12"/>
      <c r="K187" t="s" s="10">
        <v>54</v>
      </c>
      <c r="L187" t="s" s="10">
        <v>72</v>
      </c>
      <c r="M187" s="12"/>
      <c r="N187" t="s" s="10">
        <v>56</v>
      </c>
      <c r="O187" t="s" s="10">
        <v>57</v>
      </c>
      <c r="P187" s="13">
        <v>4100001374</v>
      </c>
      <c r="Q187" s="12"/>
      <c r="R187" t="s" s="10">
        <v>58</v>
      </c>
      <c r="S187" s="14">
        <v>2</v>
      </c>
      <c r="T187" t="s" s="10">
        <v>123</v>
      </c>
      <c r="U187" s="14">
        <v>20</v>
      </c>
      <c r="V187" t="s" s="10">
        <v>60</v>
      </c>
      <c r="W187" s="14">
        <v>0</v>
      </c>
      <c r="X187" s="14">
        <v>17208.3</v>
      </c>
      <c r="Y187" s="14">
        <v>17208.3</v>
      </c>
      <c r="Z187" s="14">
        <v>34416.6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34416.6</v>
      </c>
      <c r="AM187" s="14">
        <v>15502.97</v>
      </c>
      <c r="AN187" s="14">
        <v>31005.95</v>
      </c>
      <c r="AO187" s="14">
        <v>0</v>
      </c>
      <c r="AP187" s="14">
        <v>31005.95</v>
      </c>
      <c r="AQ187" s="14">
        <v>0</v>
      </c>
      <c r="AR187" s="14">
        <v>31005.95</v>
      </c>
      <c r="AS187" s="14">
        <v>3410.65</v>
      </c>
      <c r="AT187" s="14">
        <v>34416.6</v>
      </c>
      <c r="AU187" t="s" s="10">
        <v>61</v>
      </c>
      <c r="AV187" t="s" s="10">
        <v>61</v>
      </c>
    </row>
    <row r="188" ht="13.65" customHeight="1">
      <c r="A188" t="s" s="9">
        <v>470</v>
      </c>
      <c r="B188" t="s" s="10">
        <v>49</v>
      </c>
      <c r="C188" s="11" cm="1">
        <f t="array" ref="C188">DATEVALUE("2025-05-14")</f>
        <v>45791</v>
      </c>
      <c r="D188" t="s" s="10">
        <v>466</v>
      </c>
      <c r="E188" t="s" s="10">
        <v>466</v>
      </c>
      <c r="F188" t="s" s="10">
        <v>467</v>
      </c>
      <c r="G188" t="s" s="10">
        <v>468</v>
      </c>
      <c r="H188" t="s" s="10">
        <v>469</v>
      </c>
      <c r="I188" s="12"/>
      <c r="J188" s="12"/>
      <c r="K188" t="s" s="10">
        <v>54</v>
      </c>
      <c r="L188" t="s" s="10">
        <v>72</v>
      </c>
      <c r="M188" s="12"/>
      <c r="N188" t="s" s="10">
        <v>56</v>
      </c>
      <c r="O188" t="s" s="10">
        <v>57</v>
      </c>
      <c r="P188" t="s" s="10">
        <v>73</v>
      </c>
      <c r="Q188" s="12"/>
      <c r="R188" t="s" s="10">
        <v>58</v>
      </c>
      <c r="S188" s="14">
        <v>1</v>
      </c>
      <c r="T188" t="s" s="10">
        <v>65</v>
      </c>
      <c r="U188" s="14">
        <v>60</v>
      </c>
      <c r="V188" t="s" s="10">
        <v>60</v>
      </c>
      <c r="W188" s="14">
        <v>0</v>
      </c>
      <c r="X188" s="14">
        <v>102300</v>
      </c>
      <c r="Y188" s="14">
        <v>102300</v>
      </c>
      <c r="Z188" s="14">
        <v>102300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102300</v>
      </c>
      <c r="AM188" s="14">
        <v>92162.16</v>
      </c>
      <c r="AN188" s="14">
        <v>92162.16</v>
      </c>
      <c r="AO188" s="14">
        <v>0</v>
      </c>
      <c r="AP188" s="14">
        <v>92162.16</v>
      </c>
      <c r="AQ188" s="14">
        <v>0</v>
      </c>
      <c r="AR188" s="14">
        <v>92162.16</v>
      </c>
      <c r="AS188" s="14">
        <v>10137.84</v>
      </c>
      <c r="AT188" s="14">
        <v>102300</v>
      </c>
      <c r="AU188" t="s" s="10">
        <v>61</v>
      </c>
      <c r="AV188" t="s" s="10">
        <v>61</v>
      </c>
    </row>
    <row r="189" ht="13.65" customHeight="1">
      <c r="A189" t="s" s="9">
        <v>471</v>
      </c>
      <c r="B189" t="s" s="10">
        <v>49</v>
      </c>
      <c r="C189" s="11" cm="1">
        <f t="array" ref="C189">DATEVALUE("2025-05-14")</f>
        <v>45791</v>
      </c>
      <c r="D189" t="s" s="10">
        <v>472</v>
      </c>
      <c r="E189" t="s" s="10">
        <v>472</v>
      </c>
      <c r="F189" t="s" s="10">
        <v>473</v>
      </c>
      <c r="G189" t="s" s="10">
        <v>474</v>
      </c>
      <c r="H189" t="s" s="10">
        <v>475</v>
      </c>
      <c r="I189" s="12"/>
      <c r="J189" s="12"/>
      <c r="K189" t="s" s="10">
        <v>54</v>
      </c>
      <c r="L189" t="s" s="10">
        <v>72</v>
      </c>
      <c r="M189" s="12"/>
      <c r="N189" t="s" s="10">
        <v>56</v>
      </c>
      <c r="O189" t="s" s="10">
        <v>57</v>
      </c>
      <c r="P189" s="13">
        <v>41000001424</v>
      </c>
      <c r="Q189" s="12"/>
      <c r="R189" t="s" s="10">
        <v>58</v>
      </c>
      <c r="S189" s="14">
        <v>1</v>
      </c>
      <c r="T189" t="s" s="10">
        <v>119</v>
      </c>
      <c r="U189" s="14">
        <v>12</v>
      </c>
      <c r="V189" t="s" s="10">
        <v>120</v>
      </c>
      <c r="W189" s="14">
        <v>0</v>
      </c>
      <c r="X189" s="14">
        <v>90000</v>
      </c>
      <c r="Y189" s="14">
        <v>90000</v>
      </c>
      <c r="Z189" s="14">
        <v>90000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90000</v>
      </c>
      <c r="AM189" s="14">
        <v>81081.08</v>
      </c>
      <c r="AN189" s="14">
        <v>81081.08</v>
      </c>
      <c r="AO189" s="14">
        <v>0</v>
      </c>
      <c r="AP189" s="14">
        <v>81081.08</v>
      </c>
      <c r="AQ189" s="14">
        <v>0</v>
      </c>
      <c r="AR189" s="14">
        <v>81081.08</v>
      </c>
      <c r="AS189" s="14">
        <v>8918.92</v>
      </c>
      <c r="AT189" s="14">
        <v>90000</v>
      </c>
      <c r="AU189" t="s" s="10">
        <v>61</v>
      </c>
      <c r="AV189" t="s" s="10">
        <v>61</v>
      </c>
    </row>
    <row r="190" ht="13.65" customHeight="1">
      <c r="A190" t="s" s="9">
        <v>476</v>
      </c>
      <c r="B190" t="s" s="10">
        <v>49</v>
      </c>
      <c r="C190" s="11" cm="1">
        <f t="array" ref="C190">DATEVALUE("2025-05-14")</f>
        <v>45791</v>
      </c>
      <c r="D190" t="s" s="10">
        <v>472</v>
      </c>
      <c r="E190" t="s" s="10">
        <v>472</v>
      </c>
      <c r="F190" t="s" s="10">
        <v>473</v>
      </c>
      <c r="G190" t="s" s="10">
        <v>474</v>
      </c>
      <c r="H190" t="s" s="10">
        <v>475</v>
      </c>
      <c r="I190" s="12"/>
      <c r="J190" s="12"/>
      <c r="K190" t="s" s="10">
        <v>54</v>
      </c>
      <c r="L190" t="s" s="10">
        <v>72</v>
      </c>
      <c r="M190" s="12"/>
      <c r="N190" t="s" s="10">
        <v>56</v>
      </c>
      <c r="O190" t="s" s="10">
        <v>57</v>
      </c>
      <c r="P190" s="13">
        <v>4100001425</v>
      </c>
      <c r="Q190" s="12"/>
      <c r="R190" t="s" s="10">
        <v>58</v>
      </c>
      <c r="S190" s="14">
        <v>1</v>
      </c>
      <c r="T190" t="s" s="10">
        <v>66</v>
      </c>
      <c r="U190" s="14">
        <v>12</v>
      </c>
      <c r="V190" t="s" s="10">
        <v>120</v>
      </c>
      <c r="W190" s="14">
        <v>0</v>
      </c>
      <c r="X190" s="14">
        <v>100000.08</v>
      </c>
      <c r="Y190" s="14">
        <v>100000.08</v>
      </c>
      <c r="Z190" s="14">
        <v>100000.08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100000.08</v>
      </c>
      <c r="AM190" s="14">
        <v>90090.16</v>
      </c>
      <c r="AN190" s="14">
        <v>90090.16</v>
      </c>
      <c r="AO190" s="14">
        <v>0</v>
      </c>
      <c r="AP190" s="14">
        <v>90090.16</v>
      </c>
      <c r="AQ190" s="14">
        <v>0</v>
      </c>
      <c r="AR190" s="14">
        <v>90090.16</v>
      </c>
      <c r="AS190" s="14">
        <v>9909.92</v>
      </c>
      <c r="AT190" s="14">
        <v>100000.08</v>
      </c>
      <c r="AU190" t="s" s="10">
        <v>61</v>
      </c>
      <c r="AV190" t="s" s="10">
        <v>61</v>
      </c>
    </row>
    <row r="191" ht="13.65" customHeight="1">
      <c r="A191" t="s" s="9">
        <v>477</v>
      </c>
      <c r="B191" t="s" s="10">
        <v>49</v>
      </c>
      <c r="C191" s="11" cm="1">
        <f t="array" ref="C191">DATEVALUE("2025-05-14")</f>
        <v>45791</v>
      </c>
      <c r="D191" t="s" s="10">
        <v>478</v>
      </c>
      <c r="E191" t="s" s="10">
        <v>478</v>
      </c>
      <c r="F191" t="s" s="10">
        <v>235</v>
      </c>
      <c r="G191" t="s" s="10">
        <v>236</v>
      </c>
      <c r="H191" t="s" s="10">
        <v>237</v>
      </c>
      <c r="I191" s="12"/>
      <c r="J191" s="12"/>
      <c r="K191" t="s" s="10">
        <v>54</v>
      </c>
      <c r="L191" t="s" s="10">
        <v>55</v>
      </c>
      <c r="M191" s="12"/>
      <c r="N191" t="s" s="10">
        <v>56</v>
      </c>
      <c r="O191" t="s" s="10">
        <v>57</v>
      </c>
      <c r="P191" s="13">
        <v>4100000446</v>
      </c>
      <c r="Q191" s="12"/>
      <c r="R191" t="s" s="10">
        <v>58</v>
      </c>
      <c r="S191" s="14">
        <v>5</v>
      </c>
      <c r="T191" t="s" s="10">
        <v>65</v>
      </c>
      <c r="U191" s="14">
        <v>120</v>
      </c>
      <c r="V191" t="s" s="10">
        <v>60</v>
      </c>
      <c r="W191" s="14">
        <v>0</v>
      </c>
      <c r="X191" s="14">
        <v>138000</v>
      </c>
      <c r="Y191" s="14">
        <v>138000</v>
      </c>
      <c r="Z191" s="14">
        <v>690000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690000</v>
      </c>
      <c r="AM191" s="14">
        <v>124324.32</v>
      </c>
      <c r="AN191" s="14">
        <v>621621.62</v>
      </c>
      <c r="AO191" s="14">
        <v>0</v>
      </c>
      <c r="AP191" s="14">
        <v>621621.62</v>
      </c>
      <c r="AQ191" s="14">
        <v>0</v>
      </c>
      <c r="AR191" s="14">
        <v>621621.62</v>
      </c>
      <c r="AS191" s="14">
        <v>68378.38</v>
      </c>
      <c r="AT191" s="14">
        <v>690000</v>
      </c>
      <c r="AU191" t="s" s="10">
        <v>61</v>
      </c>
      <c r="AV191" t="s" s="10">
        <v>61</v>
      </c>
    </row>
    <row r="192" ht="13.65" customHeight="1">
      <c r="A192" t="s" s="9">
        <v>479</v>
      </c>
      <c r="B192" t="s" s="10">
        <v>49</v>
      </c>
      <c r="C192" s="11" cm="1">
        <f t="array" ref="C192">DATEVALUE("2025-05-14")</f>
        <v>45791</v>
      </c>
      <c r="D192" t="s" s="10">
        <v>480</v>
      </c>
      <c r="E192" t="s" s="10">
        <v>480</v>
      </c>
      <c r="F192" t="s" s="10">
        <v>481</v>
      </c>
      <c r="G192" t="s" s="10">
        <v>482</v>
      </c>
      <c r="H192" t="s" s="10">
        <v>483</v>
      </c>
      <c r="I192" s="12"/>
      <c r="J192" s="12"/>
      <c r="K192" t="s" s="10">
        <v>54</v>
      </c>
      <c r="L192" t="s" s="10">
        <v>72</v>
      </c>
      <c r="M192" s="12"/>
      <c r="N192" t="s" s="10">
        <v>56</v>
      </c>
      <c r="O192" t="s" s="10">
        <v>57</v>
      </c>
      <c r="P192" t="s" s="10">
        <v>73</v>
      </c>
      <c r="Q192" s="12"/>
      <c r="R192" t="s" s="10">
        <v>58</v>
      </c>
      <c r="S192" s="14">
        <v>1</v>
      </c>
      <c r="T192" t="s" s="10">
        <v>65</v>
      </c>
      <c r="U192" s="14">
        <v>60</v>
      </c>
      <c r="V192" t="s" s="10">
        <v>60</v>
      </c>
      <c r="W192" s="14">
        <v>0</v>
      </c>
      <c r="X192" s="14">
        <v>102300</v>
      </c>
      <c r="Y192" s="14">
        <v>102300</v>
      </c>
      <c r="Z192" s="14">
        <v>102300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102300</v>
      </c>
      <c r="AM192" s="14">
        <v>92162.16</v>
      </c>
      <c r="AN192" s="14">
        <v>92162.16</v>
      </c>
      <c r="AO192" s="14">
        <v>0</v>
      </c>
      <c r="AP192" s="14">
        <v>92162.16</v>
      </c>
      <c r="AQ192" s="14">
        <v>0</v>
      </c>
      <c r="AR192" s="14">
        <v>92162.16</v>
      </c>
      <c r="AS192" s="14">
        <v>10137.84</v>
      </c>
      <c r="AT192" s="14">
        <v>102300</v>
      </c>
      <c r="AU192" t="s" s="10">
        <v>61</v>
      </c>
      <c r="AV192" t="s" s="10">
        <v>61</v>
      </c>
    </row>
    <row r="193" ht="13.65" customHeight="1">
      <c r="A193" t="s" s="9">
        <v>484</v>
      </c>
      <c r="B193" t="s" s="10">
        <v>49</v>
      </c>
      <c r="C193" s="11" cm="1">
        <f t="array" ref="C193">DATEVALUE("2025-05-14")</f>
        <v>45791</v>
      </c>
      <c r="D193" t="s" s="10">
        <v>485</v>
      </c>
      <c r="E193" t="s" s="10">
        <v>485</v>
      </c>
      <c r="F193" t="s" s="10">
        <v>486</v>
      </c>
      <c r="G193" t="s" s="10">
        <v>487</v>
      </c>
      <c r="H193" t="s" s="10">
        <v>488</v>
      </c>
      <c r="I193" s="12"/>
      <c r="J193" s="12"/>
      <c r="K193" t="s" s="10">
        <v>54</v>
      </c>
      <c r="L193" t="s" s="10">
        <v>72</v>
      </c>
      <c r="M193" s="12"/>
      <c r="N193" t="s" s="10">
        <v>56</v>
      </c>
      <c r="O193" t="s" s="10">
        <v>57</v>
      </c>
      <c r="P193" s="13">
        <v>41000001424</v>
      </c>
      <c r="Q193" s="12"/>
      <c r="R193" t="s" s="10">
        <v>58</v>
      </c>
      <c r="S193" s="14">
        <v>1</v>
      </c>
      <c r="T193" t="s" s="10">
        <v>119</v>
      </c>
      <c r="U193" s="14">
        <v>12</v>
      </c>
      <c r="V193" t="s" s="10">
        <v>120</v>
      </c>
      <c r="W193" s="14">
        <v>0</v>
      </c>
      <c r="X193" s="14">
        <v>90000</v>
      </c>
      <c r="Y193" s="14">
        <v>90000</v>
      </c>
      <c r="Z193" s="14">
        <v>90000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90000</v>
      </c>
      <c r="AM193" s="14">
        <v>81081.08</v>
      </c>
      <c r="AN193" s="14">
        <v>81081.08</v>
      </c>
      <c r="AO193" s="14">
        <v>0</v>
      </c>
      <c r="AP193" s="14">
        <v>81081.08</v>
      </c>
      <c r="AQ193" s="14">
        <v>0</v>
      </c>
      <c r="AR193" s="14">
        <v>81081.08</v>
      </c>
      <c r="AS193" s="14">
        <v>8918.92</v>
      </c>
      <c r="AT193" s="14">
        <v>90000</v>
      </c>
      <c r="AU193" t="s" s="10">
        <v>61</v>
      </c>
      <c r="AV193" t="s" s="10">
        <v>61</v>
      </c>
    </row>
    <row r="194" ht="13.65" customHeight="1">
      <c r="A194" t="s" s="9">
        <v>489</v>
      </c>
      <c r="B194" t="s" s="10">
        <v>49</v>
      </c>
      <c r="C194" s="11" cm="1">
        <f t="array" ref="C194">DATEVALUE("2025-05-14")</f>
        <v>45791</v>
      </c>
      <c r="D194" t="s" s="10">
        <v>485</v>
      </c>
      <c r="E194" t="s" s="10">
        <v>485</v>
      </c>
      <c r="F194" t="s" s="10">
        <v>486</v>
      </c>
      <c r="G194" t="s" s="10">
        <v>487</v>
      </c>
      <c r="H194" t="s" s="10">
        <v>488</v>
      </c>
      <c r="I194" s="12"/>
      <c r="J194" s="12"/>
      <c r="K194" t="s" s="10">
        <v>54</v>
      </c>
      <c r="L194" t="s" s="10">
        <v>72</v>
      </c>
      <c r="M194" s="12"/>
      <c r="N194" t="s" s="10">
        <v>56</v>
      </c>
      <c r="O194" t="s" s="10">
        <v>57</v>
      </c>
      <c r="P194" s="13">
        <v>4100001425</v>
      </c>
      <c r="Q194" s="12"/>
      <c r="R194" t="s" s="10">
        <v>58</v>
      </c>
      <c r="S194" s="14">
        <v>1</v>
      </c>
      <c r="T194" t="s" s="10">
        <v>66</v>
      </c>
      <c r="U194" s="14">
        <v>12</v>
      </c>
      <c r="V194" t="s" s="10">
        <v>120</v>
      </c>
      <c r="W194" s="14">
        <v>0</v>
      </c>
      <c r="X194" s="14">
        <v>100000.08</v>
      </c>
      <c r="Y194" s="14">
        <v>100000.08</v>
      </c>
      <c r="Z194" s="14">
        <v>100000.08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100000.08</v>
      </c>
      <c r="AM194" s="14">
        <v>90090.16</v>
      </c>
      <c r="AN194" s="14">
        <v>90090.16</v>
      </c>
      <c r="AO194" s="14">
        <v>0</v>
      </c>
      <c r="AP194" s="14">
        <v>90090.16</v>
      </c>
      <c r="AQ194" s="14">
        <v>0</v>
      </c>
      <c r="AR194" s="14">
        <v>90090.16</v>
      </c>
      <c r="AS194" s="14">
        <v>9909.92</v>
      </c>
      <c r="AT194" s="14">
        <v>100000.08</v>
      </c>
      <c r="AU194" t="s" s="10">
        <v>61</v>
      </c>
      <c r="AV194" t="s" s="10">
        <v>61</v>
      </c>
    </row>
    <row r="195" ht="13.65" customHeight="1">
      <c r="A195" t="s" s="9">
        <v>490</v>
      </c>
      <c r="B195" t="s" s="10">
        <v>49</v>
      </c>
      <c r="C195" s="11" cm="1">
        <f t="array" ref="C195">DATEVALUE("2025-05-15")</f>
        <v>45792</v>
      </c>
      <c r="D195" t="s" s="10">
        <v>491</v>
      </c>
      <c r="E195" t="s" s="10">
        <v>491</v>
      </c>
      <c r="F195" t="s" s="10">
        <v>69</v>
      </c>
      <c r="G195" t="s" s="10">
        <v>70</v>
      </c>
      <c r="H195" t="s" s="10">
        <v>71</v>
      </c>
      <c r="I195" s="12"/>
      <c r="J195" s="12"/>
      <c r="K195" t="s" s="10">
        <v>54</v>
      </c>
      <c r="L195" t="s" s="10">
        <v>72</v>
      </c>
      <c r="M195" s="12"/>
      <c r="N195" t="s" s="10">
        <v>56</v>
      </c>
      <c r="O195" t="s" s="10">
        <v>57</v>
      </c>
      <c r="P195" t="s" s="10">
        <v>73</v>
      </c>
      <c r="Q195" s="12"/>
      <c r="R195" t="s" s="10">
        <v>58</v>
      </c>
      <c r="S195" s="14">
        <v>2</v>
      </c>
      <c r="T195" t="s" s="10">
        <v>65</v>
      </c>
      <c r="U195" s="14">
        <v>120</v>
      </c>
      <c r="V195" t="s" s="10">
        <v>60</v>
      </c>
      <c r="W195" s="14">
        <v>0</v>
      </c>
      <c r="X195" s="14">
        <v>102300</v>
      </c>
      <c r="Y195" s="14">
        <v>102300</v>
      </c>
      <c r="Z195" s="14">
        <v>204600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204600</v>
      </c>
      <c r="AM195" s="14">
        <v>92162.16</v>
      </c>
      <c r="AN195" s="14">
        <v>184324.32</v>
      </c>
      <c r="AO195" s="14">
        <v>0</v>
      </c>
      <c r="AP195" s="14">
        <v>184324.32</v>
      </c>
      <c r="AQ195" s="14">
        <v>0</v>
      </c>
      <c r="AR195" s="14">
        <v>184324.32</v>
      </c>
      <c r="AS195" s="14">
        <v>20275.68</v>
      </c>
      <c r="AT195" s="14">
        <v>204600</v>
      </c>
      <c r="AU195" t="s" s="10">
        <v>61</v>
      </c>
      <c r="AV195" t="s" s="10">
        <v>61</v>
      </c>
    </row>
    <row r="196" ht="13.65" customHeight="1">
      <c r="A196" t="s" s="9">
        <v>492</v>
      </c>
      <c r="B196" t="s" s="10">
        <v>49</v>
      </c>
      <c r="C196" s="11" cm="1">
        <f t="array" ref="C196">DATEVALUE("2025-05-15")</f>
        <v>45792</v>
      </c>
      <c r="D196" t="s" s="10">
        <v>493</v>
      </c>
      <c r="E196" t="s" s="10">
        <v>493</v>
      </c>
      <c r="F196" t="s" s="10">
        <v>494</v>
      </c>
      <c r="G196" t="s" s="10">
        <v>495</v>
      </c>
      <c r="H196" t="s" s="10">
        <v>496</v>
      </c>
      <c r="I196" s="12"/>
      <c r="J196" s="12"/>
      <c r="K196" t="s" s="10">
        <v>54</v>
      </c>
      <c r="L196" t="s" s="10">
        <v>72</v>
      </c>
      <c r="M196" s="12"/>
      <c r="N196" t="s" s="10">
        <v>56</v>
      </c>
      <c r="O196" t="s" s="10">
        <v>57</v>
      </c>
      <c r="P196" t="s" s="10">
        <v>453</v>
      </c>
      <c r="Q196" s="12"/>
      <c r="R196" t="s" s="10">
        <v>58</v>
      </c>
      <c r="S196" s="14">
        <v>4</v>
      </c>
      <c r="T196" t="s" s="10">
        <v>131</v>
      </c>
      <c r="U196" s="14">
        <v>40</v>
      </c>
      <c r="V196" t="s" s="10">
        <v>60</v>
      </c>
      <c r="W196" s="14">
        <v>0</v>
      </c>
      <c r="X196" s="14">
        <v>22000</v>
      </c>
      <c r="Y196" s="14">
        <v>22000</v>
      </c>
      <c r="Z196" s="14">
        <v>88000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88000</v>
      </c>
      <c r="AM196" s="14">
        <v>19819.82</v>
      </c>
      <c r="AN196" s="14">
        <v>79279.28</v>
      </c>
      <c r="AO196" s="14">
        <v>0</v>
      </c>
      <c r="AP196" s="14">
        <v>79279.28</v>
      </c>
      <c r="AQ196" s="14">
        <v>0</v>
      </c>
      <c r="AR196" s="14">
        <v>79279.28</v>
      </c>
      <c r="AS196" s="14">
        <v>8720.719999999999</v>
      </c>
      <c r="AT196" s="14">
        <v>88000</v>
      </c>
      <c r="AU196" t="s" s="10">
        <v>497</v>
      </c>
      <c r="AV196" t="s" s="10">
        <v>497</v>
      </c>
    </row>
    <row r="197" ht="13.65" customHeight="1">
      <c r="A197" t="s" s="9">
        <v>498</v>
      </c>
      <c r="B197" t="s" s="10">
        <v>49</v>
      </c>
      <c r="C197" s="11" cm="1">
        <f t="array" ref="C197">DATEVALUE("2025-05-15")</f>
        <v>45792</v>
      </c>
      <c r="D197" t="s" s="10">
        <v>493</v>
      </c>
      <c r="E197" t="s" s="10">
        <v>493</v>
      </c>
      <c r="F197" t="s" s="10">
        <v>494</v>
      </c>
      <c r="G197" t="s" s="10">
        <v>495</v>
      </c>
      <c r="H197" t="s" s="10">
        <v>496</v>
      </c>
      <c r="I197" s="12"/>
      <c r="J197" s="12"/>
      <c r="K197" t="s" s="10">
        <v>54</v>
      </c>
      <c r="L197" t="s" s="10">
        <v>72</v>
      </c>
      <c r="M197" s="12"/>
      <c r="N197" t="s" s="10">
        <v>56</v>
      </c>
      <c r="O197" t="s" s="10">
        <v>57</v>
      </c>
      <c r="P197" s="13">
        <v>4100000875</v>
      </c>
      <c r="Q197" s="12"/>
      <c r="R197" t="s" s="10">
        <v>58</v>
      </c>
      <c r="S197" s="14">
        <v>4</v>
      </c>
      <c r="T197" t="s" s="10">
        <v>131</v>
      </c>
      <c r="U197" s="14">
        <v>40</v>
      </c>
      <c r="V197" t="s" s="10">
        <v>60</v>
      </c>
      <c r="W197" s="14">
        <v>0</v>
      </c>
      <c r="X197" s="14">
        <v>22000</v>
      </c>
      <c r="Y197" s="14">
        <v>22000</v>
      </c>
      <c r="Z197" s="14">
        <v>88000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88000</v>
      </c>
      <c r="AM197" s="14">
        <v>19819.82</v>
      </c>
      <c r="AN197" s="14">
        <v>79279.28</v>
      </c>
      <c r="AO197" s="14">
        <v>0</v>
      </c>
      <c r="AP197" s="14">
        <v>79279.28</v>
      </c>
      <c r="AQ197" s="14">
        <v>0</v>
      </c>
      <c r="AR197" s="14">
        <v>79279.28</v>
      </c>
      <c r="AS197" s="14">
        <v>8720.719999999999</v>
      </c>
      <c r="AT197" s="14">
        <v>88000</v>
      </c>
      <c r="AU197" t="s" s="10">
        <v>497</v>
      </c>
      <c r="AV197" t="s" s="10">
        <v>497</v>
      </c>
    </row>
    <row r="198" ht="13.65" customHeight="1">
      <c r="A198" t="s" s="9">
        <v>499</v>
      </c>
      <c r="B198" t="s" s="10">
        <v>49</v>
      </c>
      <c r="C198" s="11" cm="1">
        <f t="array" ref="C198">DATEVALUE("2025-05-15")</f>
        <v>45792</v>
      </c>
      <c r="D198" t="s" s="10">
        <v>500</v>
      </c>
      <c r="E198" t="s" s="10">
        <v>500</v>
      </c>
      <c r="F198" t="s" s="10">
        <v>501</v>
      </c>
      <c r="G198" t="s" s="10">
        <v>502</v>
      </c>
      <c r="H198" t="s" s="10">
        <v>496</v>
      </c>
      <c r="I198" s="12"/>
      <c r="J198" s="12"/>
      <c r="K198" t="s" s="10">
        <v>54</v>
      </c>
      <c r="L198" t="s" s="10">
        <v>72</v>
      </c>
      <c r="M198" s="12"/>
      <c r="N198" t="s" s="10">
        <v>56</v>
      </c>
      <c r="O198" t="s" s="10">
        <v>57</v>
      </c>
      <c r="P198" t="s" s="10">
        <v>73</v>
      </c>
      <c r="Q198" s="12"/>
      <c r="R198" t="s" s="10">
        <v>58</v>
      </c>
      <c r="S198" s="14">
        <v>3</v>
      </c>
      <c r="T198" t="s" s="10">
        <v>65</v>
      </c>
      <c r="U198" s="14">
        <v>180</v>
      </c>
      <c r="V198" t="s" s="10">
        <v>60</v>
      </c>
      <c r="W198" s="14">
        <v>0</v>
      </c>
      <c r="X198" s="14">
        <v>102300</v>
      </c>
      <c r="Y198" s="14">
        <v>102300</v>
      </c>
      <c r="Z198" s="14">
        <v>306900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306900</v>
      </c>
      <c r="AM198" s="14">
        <v>92162.16</v>
      </c>
      <c r="AN198" s="14">
        <v>276486.49</v>
      </c>
      <c r="AO198" s="14">
        <v>0</v>
      </c>
      <c r="AP198" s="14">
        <v>276486.49</v>
      </c>
      <c r="AQ198" s="14">
        <v>0</v>
      </c>
      <c r="AR198" s="14">
        <v>276486.49</v>
      </c>
      <c r="AS198" s="14">
        <v>30413.51</v>
      </c>
      <c r="AT198" s="14">
        <v>306900</v>
      </c>
      <c r="AU198" t="s" s="10">
        <v>61</v>
      </c>
      <c r="AV198" t="s" s="10">
        <v>61</v>
      </c>
    </row>
    <row r="199" ht="13.65" customHeight="1">
      <c r="A199" t="s" s="9">
        <v>503</v>
      </c>
      <c r="B199" t="s" s="10">
        <v>49</v>
      </c>
      <c r="C199" s="11" cm="1">
        <f t="array" ref="C199">DATEVALUE("2025-05-15")</f>
        <v>45792</v>
      </c>
      <c r="D199" t="s" s="10">
        <v>500</v>
      </c>
      <c r="E199" t="s" s="10">
        <v>500</v>
      </c>
      <c r="F199" t="s" s="10">
        <v>501</v>
      </c>
      <c r="G199" t="s" s="10">
        <v>502</v>
      </c>
      <c r="H199" t="s" s="10">
        <v>496</v>
      </c>
      <c r="I199" s="12"/>
      <c r="J199" s="12"/>
      <c r="K199" t="s" s="10">
        <v>54</v>
      </c>
      <c r="L199" t="s" s="10">
        <v>72</v>
      </c>
      <c r="M199" s="12"/>
      <c r="N199" t="s" s="10">
        <v>56</v>
      </c>
      <c r="O199" t="s" s="10">
        <v>57</v>
      </c>
      <c r="P199" s="13">
        <v>4100000871</v>
      </c>
      <c r="Q199" s="12"/>
      <c r="R199" t="s" s="10">
        <v>58</v>
      </c>
      <c r="S199" s="14">
        <v>1</v>
      </c>
      <c r="T199" t="s" s="10">
        <v>65</v>
      </c>
      <c r="U199" s="14">
        <v>12</v>
      </c>
      <c r="V199" t="s" s="10">
        <v>131</v>
      </c>
      <c r="W199" s="14">
        <v>0</v>
      </c>
      <c r="X199" s="14">
        <v>264000</v>
      </c>
      <c r="Y199" s="14">
        <v>264000</v>
      </c>
      <c r="Z199" s="14">
        <v>264000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264000</v>
      </c>
      <c r="AM199" s="14">
        <v>237837.84</v>
      </c>
      <c r="AN199" s="14">
        <v>237837.84</v>
      </c>
      <c r="AO199" s="14">
        <v>0</v>
      </c>
      <c r="AP199" s="14">
        <v>237837.84</v>
      </c>
      <c r="AQ199" s="14">
        <v>0</v>
      </c>
      <c r="AR199" s="14">
        <v>237837.84</v>
      </c>
      <c r="AS199" s="14">
        <v>26162.16</v>
      </c>
      <c r="AT199" s="14">
        <v>264000</v>
      </c>
      <c r="AU199" t="s" s="10">
        <v>61</v>
      </c>
      <c r="AV199" t="s" s="10">
        <v>61</v>
      </c>
    </row>
    <row r="200" ht="13.65" customHeight="1">
      <c r="A200" t="s" s="9">
        <v>504</v>
      </c>
      <c r="B200" t="s" s="10">
        <v>49</v>
      </c>
      <c r="C200" s="11" cm="1">
        <f t="array" ref="C200">DATEVALUE("2025-05-15")</f>
        <v>45792</v>
      </c>
      <c r="D200" t="s" s="10">
        <v>500</v>
      </c>
      <c r="E200" t="s" s="10">
        <v>500</v>
      </c>
      <c r="F200" t="s" s="10">
        <v>501</v>
      </c>
      <c r="G200" t="s" s="10">
        <v>502</v>
      </c>
      <c r="H200" t="s" s="10">
        <v>496</v>
      </c>
      <c r="I200" s="12"/>
      <c r="J200" s="12"/>
      <c r="K200" t="s" s="10">
        <v>54</v>
      </c>
      <c r="L200" t="s" s="10">
        <v>72</v>
      </c>
      <c r="M200" s="12"/>
      <c r="N200" t="s" s="10">
        <v>56</v>
      </c>
      <c r="O200" t="s" s="10">
        <v>57</v>
      </c>
      <c r="P200" t="s" s="10">
        <v>125</v>
      </c>
      <c r="Q200" s="12"/>
      <c r="R200" t="s" s="10">
        <v>58</v>
      </c>
      <c r="S200" s="14">
        <v>1</v>
      </c>
      <c r="T200" t="s" s="10">
        <v>65</v>
      </c>
      <c r="U200" s="14">
        <v>240</v>
      </c>
      <c r="V200" t="s" s="10">
        <v>60</v>
      </c>
      <c r="W200" s="14">
        <v>0</v>
      </c>
      <c r="X200" s="14">
        <v>214512</v>
      </c>
      <c r="Y200" s="14">
        <v>214512</v>
      </c>
      <c r="Z200" s="14">
        <v>214512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214512</v>
      </c>
      <c r="AM200" s="14">
        <v>193254.05</v>
      </c>
      <c r="AN200" s="14">
        <v>193254.05</v>
      </c>
      <c r="AO200" s="14">
        <v>0</v>
      </c>
      <c r="AP200" s="14">
        <v>193254.05</v>
      </c>
      <c r="AQ200" s="14">
        <v>0</v>
      </c>
      <c r="AR200" s="14">
        <v>193254.05</v>
      </c>
      <c r="AS200" s="14">
        <v>21257.95</v>
      </c>
      <c r="AT200" s="14">
        <v>214512</v>
      </c>
      <c r="AU200" t="s" s="10">
        <v>61</v>
      </c>
      <c r="AV200" t="s" s="10">
        <v>61</v>
      </c>
    </row>
    <row r="201" ht="13.65" customHeight="1">
      <c r="A201" t="s" s="9">
        <v>505</v>
      </c>
      <c r="B201" t="s" s="10">
        <v>49</v>
      </c>
      <c r="C201" s="11" cm="1">
        <f t="array" ref="C201">DATEVALUE("2025-05-15")</f>
        <v>45792</v>
      </c>
      <c r="D201" t="s" s="10">
        <v>506</v>
      </c>
      <c r="E201" t="s" s="10">
        <v>506</v>
      </c>
      <c r="F201" t="s" s="10">
        <v>507</v>
      </c>
      <c r="G201" t="s" s="10">
        <v>508</v>
      </c>
      <c r="H201" t="s" s="10">
        <v>509</v>
      </c>
      <c r="I201" s="12"/>
      <c r="J201" s="12"/>
      <c r="K201" t="s" s="10">
        <v>54</v>
      </c>
      <c r="L201" t="s" s="10">
        <v>72</v>
      </c>
      <c r="M201" t="s" s="10">
        <v>510</v>
      </c>
      <c r="N201" t="s" s="10">
        <v>56</v>
      </c>
      <c r="O201" t="s" s="10">
        <v>57</v>
      </c>
      <c r="P201" s="13">
        <v>4100000450</v>
      </c>
      <c r="Q201" s="12"/>
      <c r="R201" t="s" s="10">
        <v>58</v>
      </c>
      <c r="S201" s="14">
        <v>1</v>
      </c>
      <c r="T201" t="s" s="10">
        <v>65</v>
      </c>
      <c r="U201" s="14">
        <v>12</v>
      </c>
      <c r="V201" t="s" s="10">
        <v>60</v>
      </c>
      <c r="W201" s="14">
        <v>0</v>
      </c>
      <c r="X201" s="14">
        <v>276000</v>
      </c>
      <c r="Y201" s="14">
        <v>276000</v>
      </c>
      <c r="Z201" s="14">
        <v>276000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276000</v>
      </c>
      <c r="AM201" s="14">
        <v>248648.65</v>
      </c>
      <c r="AN201" s="14">
        <v>248648.65</v>
      </c>
      <c r="AO201" s="14">
        <v>0</v>
      </c>
      <c r="AP201" s="14">
        <v>248648.65</v>
      </c>
      <c r="AQ201" s="14">
        <v>0</v>
      </c>
      <c r="AR201" s="14">
        <v>248648.65</v>
      </c>
      <c r="AS201" s="14">
        <v>27351.35</v>
      </c>
      <c r="AT201" s="14">
        <v>276000</v>
      </c>
      <c r="AU201" t="s" s="10">
        <v>61</v>
      </c>
      <c r="AV201" t="s" s="10">
        <v>61</v>
      </c>
    </row>
    <row r="202" ht="13.65" customHeight="1">
      <c r="A202" t="s" s="9">
        <v>511</v>
      </c>
      <c r="B202" t="s" s="10">
        <v>49</v>
      </c>
      <c r="C202" s="11" cm="1">
        <f t="array" ref="C202">DATEVALUE("2025-05-15")</f>
        <v>45792</v>
      </c>
      <c r="D202" t="s" s="10">
        <v>506</v>
      </c>
      <c r="E202" t="s" s="10">
        <v>506</v>
      </c>
      <c r="F202" t="s" s="10">
        <v>507</v>
      </c>
      <c r="G202" t="s" s="10">
        <v>508</v>
      </c>
      <c r="H202" t="s" s="10">
        <v>509</v>
      </c>
      <c r="I202" s="12"/>
      <c r="J202" s="12"/>
      <c r="K202" t="s" s="10">
        <v>54</v>
      </c>
      <c r="L202" t="s" s="10">
        <v>72</v>
      </c>
      <c r="M202" t="s" s="10">
        <v>510</v>
      </c>
      <c r="N202" t="s" s="10">
        <v>56</v>
      </c>
      <c r="O202" t="s" s="10">
        <v>57</v>
      </c>
      <c r="P202" s="13">
        <v>4100000446</v>
      </c>
      <c r="Q202" s="12"/>
      <c r="R202" t="s" s="10">
        <v>58</v>
      </c>
      <c r="S202" s="14">
        <v>2</v>
      </c>
      <c r="T202" t="s" s="10">
        <v>65</v>
      </c>
      <c r="U202" s="14">
        <v>48</v>
      </c>
      <c r="V202" t="s" s="10">
        <v>60</v>
      </c>
      <c r="W202" s="14">
        <v>0</v>
      </c>
      <c r="X202" s="14">
        <v>138000</v>
      </c>
      <c r="Y202" s="14">
        <v>138000</v>
      </c>
      <c r="Z202" s="14">
        <v>276000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276000</v>
      </c>
      <c r="AM202" s="14">
        <v>124324.32</v>
      </c>
      <c r="AN202" s="14">
        <v>248648.65</v>
      </c>
      <c r="AO202" s="14">
        <v>0</v>
      </c>
      <c r="AP202" s="14">
        <v>248648.65</v>
      </c>
      <c r="AQ202" s="14">
        <v>0</v>
      </c>
      <c r="AR202" s="14">
        <v>248648.65</v>
      </c>
      <c r="AS202" s="14">
        <v>27351.35</v>
      </c>
      <c r="AT202" s="14">
        <v>276000</v>
      </c>
      <c r="AU202" t="s" s="10">
        <v>61</v>
      </c>
      <c r="AV202" t="s" s="10">
        <v>61</v>
      </c>
    </row>
    <row r="203" ht="13.65" customHeight="1">
      <c r="A203" t="s" s="9">
        <v>512</v>
      </c>
      <c r="B203" t="s" s="10">
        <v>49</v>
      </c>
      <c r="C203" s="11" cm="1">
        <f t="array" ref="C203">DATEVALUE("2025-05-15")</f>
        <v>45792</v>
      </c>
      <c r="D203" t="s" s="10">
        <v>506</v>
      </c>
      <c r="E203" t="s" s="10">
        <v>506</v>
      </c>
      <c r="F203" t="s" s="10">
        <v>507</v>
      </c>
      <c r="G203" t="s" s="10">
        <v>508</v>
      </c>
      <c r="H203" t="s" s="10">
        <v>509</v>
      </c>
      <c r="I203" s="12"/>
      <c r="J203" s="12"/>
      <c r="K203" t="s" s="10">
        <v>54</v>
      </c>
      <c r="L203" t="s" s="10">
        <v>72</v>
      </c>
      <c r="M203" t="s" s="10">
        <v>510</v>
      </c>
      <c r="N203" t="s" s="10">
        <v>56</v>
      </c>
      <c r="O203" t="s" s="10">
        <v>57</v>
      </c>
      <c r="P203" s="13">
        <v>4100001220</v>
      </c>
      <c r="Q203" s="12"/>
      <c r="R203" t="s" s="10">
        <v>58</v>
      </c>
      <c r="S203" s="14">
        <v>1</v>
      </c>
      <c r="T203" t="s" s="10">
        <v>65</v>
      </c>
      <c r="U203" s="14">
        <v>120</v>
      </c>
      <c r="V203" t="s" s="10">
        <v>60</v>
      </c>
      <c r="W203" s="14">
        <v>0</v>
      </c>
      <c r="X203" s="14">
        <v>234000</v>
      </c>
      <c r="Y203" s="14">
        <v>234000</v>
      </c>
      <c r="Z203" s="14">
        <v>234000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234000</v>
      </c>
      <c r="AM203" s="14">
        <v>210810.81</v>
      </c>
      <c r="AN203" s="14">
        <v>210810.81</v>
      </c>
      <c r="AO203" s="14">
        <v>0</v>
      </c>
      <c r="AP203" s="14">
        <v>210810.81</v>
      </c>
      <c r="AQ203" s="14">
        <v>0</v>
      </c>
      <c r="AR203" s="14">
        <v>210810.81</v>
      </c>
      <c r="AS203" s="14">
        <v>23189.19</v>
      </c>
      <c r="AT203" s="14">
        <v>234000</v>
      </c>
      <c r="AU203" t="s" s="10">
        <v>61</v>
      </c>
      <c r="AV203" t="s" s="10">
        <v>61</v>
      </c>
    </row>
    <row r="204" ht="13.65" customHeight="1">
      <c r="A204" t="s" s="9">
        <v>513</v>
      </c>
      <c r="B204" t="s" s="10">
        <v>49</v>
      </c>
      <c r="C204" s="11" cm="1">
        <f t="array" ref="C204">DATEVALUE("2025-05-15")</f>
        <v>45792</v>
      </c>
      <c r="D204" t="s" s="10">
        <v>506</v>
      </c>
      <c r="E204" t="s" s="10">
        <v>506</v>
      </c>
      <c r="F204" t="s" s="10">
        <v>507</v>
      </c>
      <c r="G204" t="s" s="10">
        <v>508</v>
      </c>
      <c r="H204" t="s" s="10">
        <v>509</v>
      </c>
      <c r="I204" s="12"/>
      <c r="J204" s="12"/>
      <c r="K204" t="s" s="10">
        <v>54</v>
      </c>
      <c r="L204" t="s" s="10">
        <v>72</v>
      </c>
      <c r="M204" t="s" s="10">
        <v>510</v>
      </c>
      <c r="N204" t="s" s="10">
        <v>56</v>
      </c>
      <c r="O204" t="s" s="10">
        <v>57</v>
      </c>
      <c r="P204" s="13">
        <v>4100000447</v>
      </c>
      <c r="Q204" s="12"/>
      <c r="R204" t="s" s="10">
        <v>58</v>
      </c>
      <c r="S204" s="14">
        <v>1</v>
      </c>
      <c r="T204" t="s" s="10">
        <v>65</v>
      </c>
      <c r="U204" s="14">
        <v>24</v>
      </c>
      <c r="V204" t="s" s="10">
        <v>60</v>
      </c>
      <c r="W204" s="14">
        <v>0</v>
      </c>
      <c r="X204" s="14">
        <v>138000</v>
      </c>
      <c r="Y204" s="14">
        <v>138000</v>
      </c>
      <c r="Z204" s="14">
        <v>138000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138000</v>
      </c>
      <c r="AM204" s="14">
        <v>124324.32</v>
      </c>
      <c r="AN204" s="14">
        <v>124324.32</v>
      </c>
      <c r="AO204" s="14">
        <v>0</v>
      </c>
      <c r="AP204" s="14">
        <v>124324.32</v>
      </c>
      <c r="AQ204" s="14">
        <v>0</v>
      </c>
      <c r="AR204" s="14">
        <v>124324.32</v>
      </c>
      <c r="AS204" s="14">
        <v>13675.68</v>
      </c>
      <c r="AT204" s="14">
        <v>138000</v>
      </c>
      <c r="AU204" t="s" s="10">
        <v>61</v>
      </c>
      <c r="AV204" t="s" s="10">
        <v>61</v>
      </c>
    </row>
    <row r="205" ht="13.65" customHeight="1">
      <c r="A205" t="s" s="9">
        <v>514</v>
      </c>
      <c r="B205" t="s" s="10">
        <v>49</v>
      </c>
      <c r="C205" s="11" cm="1">
        <f t="array" ref="C205">DATEVALUE("2025-05-15")</f>
        <v>45792</v>
      </c>
      <c r="D205" t="s" s="10">
        <v>506</v>
      </c>
      <c r="E205" t="s" s="10">
        <v>506</v>
      </c>
      <c r="F205" t="s" s="10">
        <v>507</v>
      </c>
      <c r="G205" t="s" s="10">
        <v>508</v>
      </c>
      <c r="H205" t="s" s="10">
        <v>509</v>
      </c>
      <c r="I205" s="12"/>
      <c r="J205" s="12"/>
      <c r="K205" t="s" s="10">
        <v>54</v>
      </c>
      <c r="L205" t="s" s="10">
        <v>72</v>
      </c>
      <c r="M205" t="s" s="10">
        <v>510</v>
      </c>
      <c r="N205" t="s" s="10">
        <v>56</v>
      </c>
      <c r="O205" t="s" s="10">
        <v>57</v>
      </c>
      <c r="P205" s="13">
        <v>4100001374</v>
      </c>
      <c r="Q205" s="12"/>
      <c r="R205" t="s" s="10">
        <v>58</v>
      </c>
      <c r="S205" s="14">
        <v>2</v>
      </c>
      <c r="T205" t="s" s="10">
        <v>123</v>
      </c>
      <c r="U205" s="14">
        <v>20</v>
      </c>
      <c r="V205" t="s" s="10">
        <v>60</v>
      </c>
      <c r="W205" s="14">
        <v>0</v>
      </c>
      <c r="X205" s="14">
        <v>17208.3</v>
      </c>
      <c r="Y205" s="14">
        <v>17208.3</v>
      </c>
      <c r="Z205" s="14">
        <v>34416.6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34416.6</v>
      </c>
      <c r="AM205" s="14">
        <v>15502.97</v>
      </c>
      <c r="AN205" s="14">
        <v>31005.95</v>
      </c>
      <c r="AO205" s="14">
        <v>0</v>
      </c>
      <c r="AP205" s="14">
        <v>31005.95</v>
      </c>
      <c r="AQ205" s="14">
        <v>0</v>
      </c>
      <c r="AR205" s="14">
        <v>31005.95</v>
      </c>
      <c r="AS205" s="14">
        <v>3410.65</v>
      </c>
      <c r="AT205" s="14">
        <v>34416.6</v>
      </c>
      <c r="AU205" t="s" s="10">
        <v>61</v>
      </c>
      <c r="AV205" t="s" s="10">
        <v>61</v>
      </c>
    </row>
    <row r="206" ht="13.65" customHeight="1">
      <c r="A206" t="s" s="15">
        <v>515</v>
      </c>
      <c r="B206" t="s" s="16">
        <v>49</v>
      </c>
      <c r="C206" s="17" cm="1">
        <f t="array" ref="C206">DATEVALUE("2025-05-15")</f>
        <v>45792</v>
      </c>
      <c r="D206" t="s" s="16">
        <v>516</v>
      </c>
      <c r="E206" t="s" s="16">
        <v>516</v>
      </c>
      <c r="F206" t="s" s="16">
        <v>517</v>
      </c>
      <c r="G206" t="s" s="16">
        <v>518</v>
      </c>
      <c r="H206" t="s" s="16">
        <v>519</v>
      </c>
      <c r="I206" s="18"/>
      <c r="J206" s="18"/>
      <c r="K206" t="s" s="16">
        <v>54</v>
      </c>
      <c r="L206" t="s" s="16">
        <v>72</v>
      </c>
      <c r="M206" s="18"/>
      <c r="N206" t="s" s="16">
        <v>56</v>
      </c>
      <c r="O206" t="s" s="16">
        <v>57</v>
      </c>
      <c r="P206" t="s" s="16">
        <v>73</v>
      </c>
      <c r="Q206" s="18"/>
      <c r="R206" t="s" s="16">
        <v>58</v>
      </c>
      <c r="S206" s="19">
        <v>2</v>
      </c>
      <c r="T206" t="s" s="16">
        <v>65</v>
      </c>
      <c r="U206" s="19">
        <v>120</v>
      </c>
      <c r="V206" t="s" s="16">
        <v>60</v>
      </c>
      <c r="W206" s="19">
        <v>0</v>
      </c>
      <c r="X206" s="19">
        <v>102300</v>
      </c>
      <c r="Y206" s="19">
        <v>102300</v>
      </c>
      <c r="Z206" s="19">
        <v>204600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204600</v>
      </c>
      <c r="AM206" s="19">
        <v>92162.16</v>
      </c>
      <c r="AN206" s="19">
        <v>184324.32</v>
      </c>
      <c r="AO206" s="19">
        <v>0</v>
      </c>
      <c r="AP206" s="19">
        <v>184324.32</v>
      </c>
      <c r="AQ206" s="19">
        <v>0</v>
      </c>
      <c r="AR206" s="19">
        <v>184324.32</v>
      </c>
      <c r="AS206" s="19">
        <v>20275.68</v>
      </c>
      <c r="AT206" s="19">
        <v>204600</v>
      </c>
      <c r="AU206" t="s" s="16">
        <v>61</v>
      </c>
      <c r="AV206" t="s" s="16">
        <v>61</v>
      </c>
    </row>
    <row r="207" ht="13.6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</row>
  </sheetData>
  <pageMargins left="0.75" right="0.75" top="1" bottom="1" header="0" footer="0"/>
  <pageSetup firstPageNumber="1" fitToHeight="1" fitToWidth="1" scale="46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